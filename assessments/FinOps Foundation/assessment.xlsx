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<sst xmlns="http://schemas.openxmlformats.org/spreadsheetml/2006/main" count="657" uniqueCount="275">
  <si>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</si>
  <si>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</si>
  <si>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</si>
  <si>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</si>
  <si>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</si>
  <si>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</si>
  <si>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</si>
  <si>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</si>
  <si>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</si>
  <si>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</si>
  <si>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</si>
  <si>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</si>
  <si>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</si>
  <si>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</si>
  <si>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</si>
  <si>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</si>
  <si>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</si>
  <si>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</si>
  <si>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</si>
  <si>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</si>
  <si>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</si>
  <si>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</si>
  <si>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</si>
  <si>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</si>
  <si>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</si>
  <si>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</si>
  <si>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</si>
  <si>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</si>
  <si>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</si>
  <si>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</si>
  <si>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</si>
  <si>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</si>
  <si>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</si>
  <si>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</si>
  <si>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</si>
  <si>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</si>
  <si>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</si>
  <si>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</si>
  <si>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</si>
  <si>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</si>
  <si>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</si>
  <si>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</si>
  <si>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</si>
  <si>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</si>
  <si>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</si>
  <si>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</si>
  <si>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</si>
  <si>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</si>
  <si>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Leverage Vendor Training Resources</t>
  </si>
  <si>
    <t>Define Org Model &amp; Budget</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</si>
  <si>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</si>
  <si>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</si>
  <si>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</si>
  <si>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</si>
  <si>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</si>
  <si>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</si>
  <si>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</si>
  <si>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</si>
  <si>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</si>
  <si>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Design Chargeback with Finance</t>
  </si>
  <si>
    <t>Resolve Variances &amp; Increase Coverage</t>
  </si>
  <si>
    <t>Establish Executive Sponsorship</t>
  </si>
  <si>
    <t>Establish Architecture Review Process</t>
  </si>
  <si>
    <t>Assess Workloads for Modernization</t>
  </si>
  <si>
    <t>Estimate Trade-Offs &amp; Document Cases</t>
  </si>
  <si>
    <t>Enforce Tagging at Onboarding</t>
  </si>
  <si>
    <t>Inventory Licenses &amp; Map Resources</t>
  </si>
  <si>
    <t>Validate Utilization &amp; Remediate</t>
  </si>
  <si>
    <t>Document Commitment Strategy</t>
  </si>
  <si>
    <t>Build Commitment Analysis Process</t>
  </si>
  <si>
    <t>Leverage Spot &amp; Negotiated Discounts</t>
  </si>
  <si>
    <t>Inventory &amp; Classify Workloads</t>
  </si>
  <si>
    <t>Collect Metrics &amp; Identify Candidates</t>
  </si>
  <si>
    <t>Track Trends &amp; Compare Over Time</t>
  </si>
  <si>
    <t>Define Budgeting Strategy</t>
  </si>
  <si>
    <t>Integrate Rolling Forecasts</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</si>
  <si>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</si>
  <si>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</si>
  <si>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</si>
  <si>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</si>
  <si>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</si>
  <si>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</si>
  <si>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</si>
  <si>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</si>
  <si>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</si>
  <si>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</si>
  <si>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</si>
  <si>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</si>
  <si>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</si>
  <si>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</si>
  <si>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</si>
  <si>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</si>
  <si>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</si>
  <si>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</si>
  <si>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</si>
  <si>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</si>
  <si>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</si>
  <si>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</si>
  <si>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</si>
  <si>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</si>
  <si>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</si>
  <si>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</si>
  <si>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</si>
  <si>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</si>
  <si>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</si>
  <si>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</si>
  <si>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</si>
  <si>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</si>
  <si>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Enrich Billing with Business Logic</t>
  </si>
  <si>
    <t>Build Dashboards for All Views</t>
  </si>
  <si>
    <t>Embed Reports in Workflows</t>
  </si>
  <si>
    <t>105</t>
  </si>
  <si>
    <t>113</t>
  </si>
  <si>
    <t>114</t>
  </si>
  <si>
    <t>115</t>
  </si>
  <si>
    <t>116</t>
  </si>
  <si>
    <t>100</t>
  </si>
  <si>
    <t>091</t>
  </si>
  <si>
    <t>125</t>
  </si>
  <si>
    <t>126</t>
  </si>
  <si>
    <t>127</t>
  </si>
  <si>
    <t>129</t>
  </si>
  <si>
    <t>130</t>
  </si>
  <si>
    <t>131</t>
  </si>
  <si>
    <t>132</t>
  </si>
  <si>
    <t>133</t>
  </si>
  <si>
    <t>134</t>
  </si>
  <si>
    <t>109</t>
  </si>
  <si>
    <t>112</t>
  </si>
  <si>
    <t>136</t>
  </si>
  <si>
    <t>061</t>
  </si>
  <si>
    <t>062</t>
  </si>
  <si>
    <t>063</t>
  </si>
  <si>
    <t>120</t>
  </si>
  <si>
    <t>073</t>
  </si>
  <si>
    <t>076</t>
  </si>
  <si>
    <t>079</t>
  </si>
  <si>
    <t>080</t>
  </si>
  <si>
    <t>084</t>
  </si>
  <si>
    <t>068</t>
  </si>
  <si>
    <t>069</t>
  </si>
  <si>
    <t>053</t>
  </si>
  <si>
    <t>043</t>
  </si>
  <si>
    <t>044</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</si>
  <si>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</si>
  <si>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</si>
  <si>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</si>
  <si>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</si>
  <si>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</si>
  <si>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</si>
  <si>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</si>
  <si>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</si>
  <si>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</si>
  <si>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</si>
  <si>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</si>
  <si>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</si>
  <si>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</si>
  <si>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</si>
  <si>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</si>
  <si>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</si>
  <si>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</si>
  <si>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</si>
  <si>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</si>
  <si>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</si>
  <si>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</si>
  <si>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</si>
  <si>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</si>
  <si>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</si>
  <si>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</si>
  <si>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</si>
  <si>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</si>
  <si>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</si>
  <si>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</si>
  <si>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</si>
  <si>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</si>
  <si>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</si>
  <si>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017</t>
  </si>
  <si>
    <t>018</t>
  </si>
  <si>
    <t>020</t>
  </si>
  <si>
    <t>1.7.0</t>
  </si>
  <si>
    <t>1.0.0</t>
  </si>
  <si>
    <t>2.0.1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</si>
  <si>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</si>
  <si>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</si>
  <si>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</si>
  <si>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</si>
  <si>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</si>
  <si>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</si>
  <si>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xml:space="preserve">*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</si>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</sst>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100.md" TargetMode="External"/><Relationship Id="rId7" Type="http://schemas.openxmlformats.org/officeDocument/2006/relationships/hyperlink" Target="https://github.com/FinOpsPP/Framework-Assessment/tree/main/components/actions/091.md" TargetMode="External"/><Relationship Id="rId8" Type="http://schemas.openxmlformats.org/officeDocument/2006/relationships/hyperlink" Target="https://github.com/FinOpsPP/Framework-Assessment/tree/main/components/actions/125.md" TargetMode="External"/><Relationship Id="rId9" Type="http://schemas.openxmlformats.org/officeDocument/2006/relationships/hyperlink" Target="https://github.com/FinOpsPP/Framework-Assessment/tree/main/components/actions/126.md" TargetMode="External"/><Relationship Id="rId10" Type="http://schemas.openxmlformats.org/officeDocument/2006/relationships/hyperlink" Target="https://github.com/FinOpsPP/Framework-Assessment/tree/main/components/actions/127.md" TargetMode="External"/><Relationship Id="rId11" Type="http://schemas.openxmlformats.org/officeDocument/2006/relationships/hyperlink" Target="https://github.com/FinOpsPP/Framework-Assessment/tree/main/components/actions/129.md" TargetMode="External"/><Relationship Id="rId12" Type="http://schemas.openxmlformats.org/officeDocument/2006/relationships/hyperlink" Target="https://github.com/FinOpsPP/Framework-Assessment/tree/main/components/actions/130.md" TargetMode="External"/><Relationship Id="rId13" Type="http://schemas.openxmlformats.org/officeDocument/2006/relationships/hyperlink" Target="https://github.com/FinOpsPP/Framework-Assessment/tree/main/components/actions/131.md" TargetMode="External"/><Relationship Id="rId14" Type="http://schemas.openxmlformats.org/officeDocument/2006/relationships/hyperlink" Target="https://github.com/FinOpsPP/Framework-Assessment/tree/main/components/actions/132.md" TargetMode="External"/><Relationship Id="rId15" Type="http://schemas.openxmlformats.org/officeDocument/2006/relationships/hyperlink" Target="https://github.com/FinOpsPP/Framework-Assessment/tree/main/components/actions/133.md" TargetMode="External"/><Relationship Id="rId16" Type="http://schemas.openxmlformats.org/officeDocument/2006/relationships/hyperlink" Target="https://github.com/FinOpsPP/Framework-Assessment/tree/main/components/actions/134.md" TargetMode="External"/><Relationship Id="rId17" Type="http://schemas.openxmlformats.org/officeDocument/2006/relationships/hyperlink" Target="https://github.com/FinOpsPP/Framework-Assessment/tree/main/components/actions/109.md" TargetMode="External"/><Relationship Id="rId18" Type="http://schemas.openxmlformats.org/officeDocument/2006/relationships/hyperlink" Target="https://github.com/FinOpsPP/Framework-Assessment/tree/main/components/actions/112.md" TargetMode="External"/><Relationship Id="rId19" Type="http://schemas.openxmlformats.org/officeDocument/2006/relationships/hyperlink" Target="https://github.com/FinOpsPP/Framework-Assessment/tree/main/components/actions/136.md" TargetMode="External"/><Relationship Id="rId20" Type="http://schemas.openxmlformats.org/officeDocument/2006/relationships/hyperlink" Target="https://github.com/FinOpsPP/Framework-Assessment/tree/main/components/actions/061.md" TargetMode="External"/><Relationship Id="rId21" Type="http://schemas.openxmlformats.org/officeDocument/2006/relationships/hyperlink" Target="https://github.com/FinOpsPP/Framework-Assessment/tree/main/components/actions/062.md" TargetMode="External"/><Relationship Id="rId22" Type="http://schemas.openxmlformats.org/officeDocument/2006/relationships/hyperlink" Target="https://github.com/FinOpsPP/Framework-Assessment/tree/main/components/actions/063.md" TargetMode="External"/><Relationship Id="rId23" Type="http://schemas.openxmlformats.org/officeDocument/2006/relationships/hyperlink" Target="https://github.com/FinOpsPP/Framework-Assessment/tree/main/components/actions/120.md" TargetMode="External"/><Relationship Id="rId24" Type="http://schemas.openxmlformats.org/officeDocument/2006/relationships/hyperlink" Target="https://github.com/FinOpsPP/Framework-Assessment/tree/main/components/actions/073.md" TargetMode="External"/><Relationship Id="rId25" Type="http://schemas.openxmlformats.org/officeDocument/2006/relationships/hyperlink" Target="https://github.com/FinOpsPP/Framework-Assessment/tree/main/components/actions/076.md" TargetMode="External"/><Relationship Id="rId26" Type="http://schemas.openxmlformats.org/officeDocument/2006/relationships/hyperlink" Target="https://github.com/FinOpsPP/Framework-Assessment/tree/main/components/actions/079.md" TargetMode="External"/><Relationship Id="rId27" Type="http://schemas.openxmlformats.org/officeDocument/2006/relationships/hyperlink" Target="https://github.com/FinOpsPP/Framework-Assessment/tree/main/components/actions/080.md" TargetMode="External"/><Relationship Id="rId28" Type="http://schemas.openxmlformats.org/officeDocument/2006/relationships/hyperlink" Target="https://github.com/FinOpsPP/Framework-Assessment/tree/main/components/actions/084.md" TargetMode="External"/><Relationship Id="rId29" Type="http://schemas.openxmlformats.org/officeDocument/2006/relationships/hyperlink" Target="https://github.com/FinOpsPP/Framework-Assessment/tree/main/components/actions/068.md" TargetMode="External"/><Relationship Id="rId30" Type="http://schemas.openxmlformats.org/officeDocument/2006/relationships/hyperlink" Target="https://github.com/FinOpsPP/Framework-Assessment/tree/main/components/actions/069.md" TargetMode="External"/><Relationship Id="rId31" Type="http://schemas.openxmlformats.org/officeDocument/2006/relationships/hyperlink" Target="https://github.com/FinOpsPP/Framework-Assessment/tree/main/components/actions/053.md" TargetMode="External"/><Relationship Id="rId32" Type="http://schemas.openxmlformats.org/officeDocument/2006/relationships/hyperlink" Target="https://github.com/FinOpsPP/Framework-Assessment/tree/main/components/actions/043.md" TargetMode="External"/><Relationship Id="rId33" Type="http://schemas.openxmlformats.org/officeDocument/2006/relationships/hyperlink" Target="https://github.com/FinOpsPP/Framework-Assessment/tree/main/components/actions/044.md" TargetMode="External"/><Relationship Id="rId34" Type="http://schemas.openxmlformats.org/officeDocument/2006/relationships/hyperlink" Target="https://github.com/FinOpsPP/Framework-Assessment/tree/main/components/actions/038.md" TargetMode="External"/><Relationship Id="rId35" Type="http://schemas.openxmlformats.org/officeDocument/2006/relationships/hyperlink" Target="https://github.com/FinOpsPP/Framework-Assessment/tree/main/components/actions/039.md" TargetMode="External"/><Relationship Id="rId36" Type="http://schemas.openxmlformats.org/officeDocument/2006/relationships/hyperlink" Target="https://github.com/FinOpsPP/Framework-Assessment/tree/main/components/actions/040.md" TargetMode="External"/><Relationship Id="rId37" Type="http://schemas.openxmlformats.org/officeDocument/2006/relationships/hyperlink" Target="https://github.com/FinOpsPP/Framework-Assessment/tree/main/components/actions/041.md" TargetMode="External"/><Relationship Id="rId38" Type="http://schemas.openxmlformats.org/officeDocument/2006/relationships/hyperlink" Target="https://github.com/FinOpsPP/Framework-Assessment/tree/main/components/actions/042.md" TargetMode="External"/><Relationship Id="rId39" Type="http://schemas.openxmlformats.org/officeDocument/2006/relationships/hyperlink" Target="https://github.com/FinOpsPP/Framework-Assessment/tree/main/components/actions/030.md" TargetMode="External"/><Relationship Id="rId40" Type="http://schemas.openxmlformats.org/officeDocument/2006/relationships/hyperlink" Target="https://github.com/FinOpsPP/Framework-Assessment/tree/main/components/actions/031.md" TargetMode="External"/><Relationship Id="rId41" Type="http://schemas.openxmlformats.org/officeDocument/2006/relationships/hyperlink" Target="https://github.com/FinOpsPP/Framework-Assessment/tree/main/components/actions/032.md" TargetMode="External"/><Relationship Id="rId42" Type="http://schemas.openxmlformats.org/officeDocument/2006/relationships/hyperlink" Target="https://github.com/FinOpsPP/Framework-Assessment/tree/main/components/actions/033.md" TargetMode="External"/><Relationship Id="rId43" Type="http://schemas.openxmlformats.org/officeDocument/2006/relationships/hyperlink" Target="https://github.com/FinOpsPP/Framework-Assessment/tree/main/components/actions/034.md" TargetMode="External"/><Relationship Id="rId44" Type="http://schemas.openxmlformats.org/officeDocument/2006/relationships/hyperlink" Target="https://github.com/FinOpsPP/Framework-Assessment/tree/main/components/actions/035.md" TargetMode="External"/><Relationship Id="rId45" Type="http://schemas.openxmlformats.org/officeDocument/2006/relationships/hyperlink" Target="https://github.com/FinOpsPP/Framework-Assessment/tree/main/components/actions/036.md" TargetMode="External"/><Relationship Id="rId46" Type="http://schemas.openxmlformats.org/officeDocument/2006/relationships/hyperlink" Target="https://github.com/FinOpsPP/Framework-Assessment/tree/main/components/actions/055.md" TargetMode="External"/><Relationship Id="rId47" Type="http://schemas.openxmlformats.org/officeDocument/2006/relationships/hyperlink" Target="https://github.com/FinOpsPP/Framework-Assessment/tree/main/components/actions/056.md" TargetMode="External"/><Relationship Id="rId48" Type="http://schemas.openxmlformats.org/officeDocument/2006/relationships/hyperlink" Target="https://github.com/FinOpsPP/Framework-Assessment/tree/main/components/actions/057.md" TargetMode="External"/><Relationship Id="rId49" Type="http://schemas.openxmlformats.org/officeDocument/2006/relationships/hyperlink" Target="https://github.com/FinOpsPP/Framework-Assessment/tree/main/components/actions/058.md" TargetMode="External"/><Relationship Id="rId50" Type="http://schemas.openxmlformats.org/officeDocument/2006/relationships/hyperlink" Target="https://github.com/FinOpsPP/Framework-Assessment/tree/main/components/actions/059.md" TargetMode="External"/><Relationship Id="rId51" Type="http://schemas.openxmlformats.org/officeDocument/2006/relationships/hyperlink" Target="https://github.com/FinOpsPP/Framework-Assessment/tree/main/components/actions/060.md" TargetMode="External"/><Relationship Id="rId52" Type="http://schemas.openxmlformats.org/officeDocument/2006/relationships/hyperlink" Target="https://github.com/FinOpsPP/Framework-Assessment/tree/main/components/actions/009.md" TargetMode="External"/><Relationship Id="rId53" Type="http://schemas.openxmlformats.org/officeDocument/2006/relationships/hyperlink" Target="https://github.com/FinOpsPP/Framework-Assessment/tree/main/components/actions/010.md" TargetMode="External"/><Relationship Id="rId54" Type="http://schemas.openxmlformats.org/officeDocument/2006/relationships/hyperlink" Target="https://github.com/FinOpsPP/Framework-Assessment/tree/main/components/actions/011.md" TargetMode="External"/><Relationship Id="rId55" Type="http://schemas.openxmlformats.org/officeDocument/2006/relationships/hyperlink" Target="https://github.com/FinOpsPP/Framework-Assessment/tree/main/components/actions/012.md" TargetMode="External"/><Relationship Id="rId56" Type="http://schemas.openxmlformats.org/officeDocument/2006/relationships/hyperlink" Target="https://github.com/FinOpsPP/Framework-Assessment/tree/main/components/actions/013.md" TargetMode="External"/><Relationship Id="rId57" Type="http://schemas.openxmlformats.org/officeDocument/2006/relationships/hyperlink" Target="https://github.com/FinOpsPP/Framework-Assessment/tree/main/components/actions/014.md" TargetMode="External"/><Relationship Id="rId58" Type="http://schemas.openxmlformats.org/officeDocument/2006/relationships/hyperlink" Target="https://github.com/FinOpsPP/Framework-Assessment/tree/main/components/actions/023.md" TargetMode="External"/><Relationship Id="rId59" Type="http://schemas.openxmlformats.org/officeDocument/2006/relationships/hyperlink" Target="https://github.com/FinOpsPP/Framework-Assessment/tree/main/components/actions/024.md" TargetMode="External"/><Relationship Id="rId60" Type="http://schemas.openxmlformats.org/officeDocument/2006/relationships/hyperlink" Target="https://github.com/FinOpsPP/Framework-Assessment/tree/main/components/actions/025.md" TargetMode="External"/><Relationship Id="rId61" Type="http://schemas.openxmlformats.org/officeDocument/2006/relationships/hyperlink" Target="https://github.com/FinOpsPP/Framework-Assessment/tree/main/components/actions/028.md" TargetMode="External"/><Relationship Id="rId62" Type="http://schemas.openxmlformats.org/officeDocument/2006/relationships/hyperlink" Target="https://github.com/FinOpsPP/Framework-Assessment/tree/main/components/actions/004.md" TargetMode="External"/><Relationship Id="rId63" Type="http://schemas.openxmlformats.org/officeDocument/2006/relationships/hyperlink" Target="https://github.com/FinOpsPP/Framework-Assessment/tree/main/components/actions/006.md" TargetMode="External"/><Relationship Id="rId64" Type="http://schemas.openxmlformats.org/officeDocument/2006/relationships/hyperlink" Target="https://github.com/FinOpsPP/Framework-Assessment/tree/main/components/actions/007.md" TargetMode="External"/><Relationship Id="rId65" Type="http://schemas.openxmlformats.org/officeDocument/2006/relationships/hyperlink" Target="https://github.com/FinOpsPP/Framework-Assessment/tree/main/components/actions/135.md" TargetMode="External"/><Relationship Id="rId66" Type="http://schemas.openxmlformats.org/officeDocument/2006/relationships/hyperlink" Target="https://github.com/FinOpsPP/Framework-Assessment/tree/main/components/actions/017.md" TargetMode="External"/><Relationship Id="rId67" Type="http://schemas.openxmlformats.org/officeDocument/2006/relationships/hyperlink" Target="https://github.com/FinOpsPP/Framework-Assessment/tree/main/components/actions/018.md" TargetMode="External"/><Relationship Id="rId68" Type="http://schemas.openxmlformats.org/officeDocument/2006/relationships/hyperlink" Target="https://github.com/FinOpsPP/Framework-Assessment/tree/main/components/actions/020.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SUM(Scoring!F2:F69)</f>
        <v>0</v>
      </c>
      <c r="B2">
        <v>10</v>
      </c>
      <c r="C2">
        <f>SUM(Scoring!I2:I69)/A2</f>
        <v>0</v>
      </c>
      <c r="D2">
        <f>B2-C2</f>
        <v>0</v>
      </c>
    </row>
    <row r="4" spans="1:21">
      <c r="A4" t="s">
        <v>4</v>
      </c>
      <c r="B4" t="s">
        <v>5</v>
      </c>
    </row>
    <row r="5" spans="1:21">
      <c r="A5" t="s">
        <v>6</v>
      </c>
      <c r="B5">
        <v>19</v>
      </c>
      <c r="U5">
        <f>SUMIF(Scoring!J2:J69,A5,Scoring!I2:I69)/SUMIF(Scoring!J2:J69,A5,Scoring!F2:F69)</f>
        <v>0</v>
      </c>
    </row>
    <row r="6" spans="1:21">
      <c r="A6" t="s">
        <v>7</v>
      </c>
      <c r="B6">
        <v>11</v>
      </c>
      <c r="U6">
        <f>SUMIF(Scoring!J2:J69,A6,Scoring!I2:I69)/SUMIF(Scoring!J2:J69,A6,Scoring!F2:F69)</f>
        <v>0</v>
      </c>
    </row>
    <row r="7" spans="1:21">
      <c r="A7" t="s">
        <v>8</v>
      </c>
      <c r="B7">
        <v>21</v>
      </c>
      <c r="U7">
        <f>SUMIF(Scoring!J2:J69,A7,Scoring!I2:I69)/SUMIF(Scoring!J2:J69,A7,Scoring!F2:F69)</f>
        <v>0</v>
      </c>
    </row>
    <row r="8" spans="1:21">
      <c r="A8" t="s">
        <v>9</v>
      </c>
      <c r="B8">
        <v>17</v>
      </c>
      <c r="U8">
        <f>SUMIF(Scoring!J2:J69,A8,Scoring!I2:I69)/SUMIF(Scoring!J2:J69,A8,Scoring!F2:F69)</f>
        <v>0</v>
      </c>
    </row>
    <row r="9" spans="1:21">
      <c r="B9">
        <f>SUM(Overview!$B$5:$B$8)</f>
        <v>0</v>
      </c>
    </row>
    <row r="11" spans="1:21">
      <c r="A11" t="s">
        <v>10</v>
      </c>
      <c r="B11" t="s">
        <v>5</v>
      </c>
    </row>
    <row r="12" spans="1:21">
      <c r="A12" t="s">
        <v>11</v>
      </c>
      <c r="B12">
        <v>6</v>
      </c>
      <c r="U12">
        <f>SUMIF(Scoring!K2:K69,A12,Scoring!I2:I69)/SUMIF(Scoring!K2:K69,A12,Scoring!F2:F69)</f>
        <v>0</v>
      </c>
    </row>
    <row r="13" spans="1:21">
      <c r="A13" t="s">
        <v>12</v>
      </c>
      <c r="B13">
        <v>4</v>
      </c>
      <c r="U13">
        <f>SUMIF(Scoring!K2:K69,A13,Scoring!I2:I69)/SUMIF(Scoring!K2:K69,A13,Scoring!F2:F69)</f>
        <v>0</v>
      </c>
    </row>
    <row r="14" spans="1:21">
      <c r="A14" t="s">
        <v>13</v>
      </c>
      <c r="B14">
        <v>4</v>
      </c>
      <c r="U14">
        <f>SUMIF(Scoring!K2:K69,A14,Scoring!I2:I69)/SUMIF(Scoring!K2:K69,A14,Scoring!F2:F69)</f>
        <v>0</v>
      </c>
    </row>
    <row r="15" spans="1:21">
      <c r="A15" t="s">
        <v>14</v>
      </c>
      <c r="B15">
        <v>3</v>
      </c>
      <c r="U15">
        <f>SUMIF(Scoring!K2:K69,A15,Scoring!I2:I69)/SUMIF(Scoring!K2:K69,A15,Scoring!F2:F69)</f>
        <v>0</v>
      </c>
    </row>
    <row r="16" spans="1:21">
      <c r="A16" t="s">
        <v>15</v>
      </c>
      <c r="B16">
        <v>2</v>
      </c>
      <c r="U16">
        <f>SUMIF(Scoring!K2:K69,A16,Scoring!I2:I69)/SUMIF(Scoring!K2:K69,A16,Scoring!F2:F69)</f>
        <v>0</v>
      </c>
    </row>
    <row r="17" spans="1:21">
      <c r="A17" t="s">
        <v>16</v>
      </c>
      <c r="B17">
        <v>4</v>
      </c>
      <c r="U17">
        <f>SUMIF(Scoring!K2:K69,A17,Scoring!I2:I69)/SUMIF(Scoring!K2:K69,A17,Scoring!F2:F69)</f>
        <v>0</v>
      </c>
    </row>
    <row r="18" spans="1:21">
      <c r="A18" t="s">
        <v>17</v>
      </c>
      <c r="B18">
        <v>1</v>
      </c>
      <c r="U18">
        <f>SUMIF(Scoring!K2:K69,A18,Scoring!I2:I69)/SUMIF(Scoring!K2:K69,A18,Scoring!F2:F69)</f>
        <v>0</v>
      </c>
    </row>
    <row r="19" spans="1:21">
      <c r="A19" t="s">
        <v>18</v>
      </c>
      <c r="B19">
        <v>4</v>
      </c>
      <c r="U19">
        <f>SUMIF(Scoring!K2:K69,A19,Scoring!I2:I69)/SUMIF(Scoring!K2:K69,A19,Scoring!F2:F69)</f>
        <v>0</v>
      </c>
    </row>
    <row r="20" spans="1:21">
      <c r="A20" t="s">
        <v>19</v>
      </c>
      <c r="B20">
        <v>1</v>
      </c>
      <c r="U20">
        <f>SUMIF(Scoring!K2:K69,A20,Scoring!I2:I69)/SUMIF(Scoring!K2:K69,A20,Scoring!F2:F69)</f>
        <v>0</v>
      </c>
    </row>
    <row r="21" spans="1:21">
      <c r="A21" t="s">
        <v>20</v>
      </c>
      <c r="B21">
        <v>1</v>
      </c>
      <c r="U21">
        <f>SUMIF(Scoring!K2:K69,A21,Scoring!I2:I69)/SUMIF(Scoring!K2:K69,A21,Scoring!F2:F69)</f>
        <v>0</v>
      </c>
    </row>
    <row r="22" spans="1:21">
      <c r="A22" t="s">
        <v>21</v>
      </c>
      <c r="B22">
        <v>5</v>
      </c>
      <c r="U22">
        <f>SUMIF(Scoring!K2:K69,A22,Scoring!I2:I69)/SUMIF(Scoring!K2:K69,A22,Scoring!F2:F69)</f>
        <v>0</v>
      </c>
    </row>
    <row r="23" spans="1:21">
      <c r="A23" t="s">
        <v>22</v>
      </c>
      <c r="B23">
        <v>1</v>
      </c>
      <c r="U23">
        <f>SUMIF(Scoring!K2:K69,A23,Scoring!I2:I69)/SUMIF(Scoring!K2:K69,A23,Scoring!F2:F69)</f>
        <v>0</v>
      </c>
    </row>
    <row r="24" spans="1:21">
      <c r="A24" t="s">
        <v>23</v>
      </c>
      <c r="B24">
        <v>6</v>
      </c>
      <c r="U24">
        <f>SUMIF(Scoring!K2:K69,A24,Scoring!I2:I69)/SUMIF(Scoring!K2:K69,A24,Scoring!F2:F69)</f>
        <v>0</v>
      </c>
    </row>
    <row r="25" spans="1:21">
      <c r="A25" t="s">
        <v>24</v>
      </c>
      <c r="B25">
        <v>2</v>
      </c>
      <c r="U25">
        <f>SUMIF(Scoring!K2:K69,A25,Scoring!I2:I69)/SUMIF(Scoring!K2:K69,A25,Scoring!F2:F69)</f>
        <v>0</v>
      </c>
    </row>
    <row r="26" spans="1:21">
      <c r="A26" t="s">
        <v>25</v>
      </c>
      <c r="B26">
        <v>1</v>
      </c>
      <c r="U26">
        <f>SUMIF(Scoring!K2:K69,A26,Scoring!I2:I69)/SUMIF(Scoring!K2:K69,A26,Scoring!F2:F69)</f>
        <v>0</v>
      </c>
    </row>
    <row r="27" spans="1:21">
      <c r="A27" t="s">
        <v>26</v>
      </c>
      <c r="B27">
        <v>2</v>
      </c>
      <c r="U27">
        <f>SUMIF(Scoring!K2:K69,A27,Scoring!I2:I69)/SUMIF(Scoring!K2:K69,A27,Scoring!F2:F69)</f>
        <v>0</v>
      </c>
    </row>
    <row r="28" spans="1:21">
      <c r="A28" t="s">
        <v>27</v>
      </c>
      <c r="B28">
        <v>7</v>
      </c>
      <c r="U28">
        <f>SUMIF(Scoring!K2:K69,A28,Scoring!I2:I69)/SUMIF(Scoring!K2:K69,A28,Scoring!F2:F69)</f>
        <v>0</v>
      </c>
    </row>
    <row r="29" spans="1:21">
      <c r="A29" t="s">
        <v>28</v>
      </c>
      <c r="B29">
        <v>3</v>
      </c>
      <c r="U29">
        <f>SUMIF(Scoring!K2:K69,A29,Scoring!I2:I69)/SUMIF(Scoring!K2:K69,A29,Scoring!F2:F69)</f>
        <v>0</v>
      </c>
    </row>
    <row r="30" spans="1:21">
      <c r="A30" t="s">
        <v>29</v>
      </c>
      <c r="B30">
        <v>3</v>
      </c>
      <c r="U30">
        <f>SUMIF(Scoring!K2:K69,A30,Scoring!I2:I69)/SUMIF(Scoring!K2:K69,A30,Scoring!F2:F69)</f>
        <v>0</v>
      </c>
    </row>
    <row r="31" spans="1:21">
      <c r="A31" t="s">
        <v>30</v>
      </c>
      <c r="B31">
        <v>6</v>
      </c>
      <c r="U31">
        <f>SUMIF(Scoring!K2:K69,A31,Scoring!I2:I69)/SUMIF(Scoring!K2:K69,A31,Scoring!F2:F69)</f>
        <v>0</v>
      </c>
    </row>
    <row r="32" spans="1:21">
      <c r="A32" t="s">
        <v>31</v>
      </c>
      <c r="B32">
        <v>2</v>
      </c>
      <c r="U32">
        <f>SUMIF(Scoring!K2:K69,A32,Scoring!I2:I69)/SUMIF(Scoring!K2:K69,A32,Scoring!F2:F69)</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69"/>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6</v>
      </c>
      <c r="B2" s="2" t="s">
        <v>22</v>
      </c>
      <c r="C2" s="2" t="s">
        <v>43</v>
      </c>
      <c r="D2" s="3" t="s">
        <v>111</v>
      </c>
      <c r="E2" t="s">
        <v>179</v>
      </c>
      <c r="F2">
        <v>1</v>
      </c>
      <c r="H2" s="1" t="s">
        <v>258</v>
      </c>
      <c r="I2">
        <f>F2*VALUE(LEFT(H2, FIND(":", H2)-1))</f>
        <v>0</v>
      </c>
      <c r="J2" t="s">
        <v>6</v>
      </c>
      <c r="K2" t="s">
        <v>22</v>
      </c>
    </row>
    <row r="3" spans="1:11">
      <c r="A3" s="2"/>
      <c r="B3" s="2" t="s">
        <v>18</v>
      </c>
      <c r="C3" s="2" t="s">
        <v>44</v>
      </c>
      <c r="D3" s="3" t="s">
        <v>112</v>
      </c>
      <c r="E3" t="s">
        <v>180</v>
      </c>
      <c r="F3">
        <v>1</v>
      </c>
      <c r="G3" s="1" t="s">
        <v>183</v>
      </c>
      <c r="H3" s="1" t="s">
        <v>259</v>
      </c>
      <c r="I3">
        <f>F3*VALUE(LEFT(H3, FIND(":", H3)-1))</f>
        <v>0</v>
      </c>
      <c r="J3" t="s">
        <v>6</v>
      </c>
      <c r="K3" t="s">
        <v>18</v>
      </c>
    </row>
    <row r="4" spans="1:11">
      <c r="A4" s="2"/>
      <c r="B4" s="2"/>
      <c r="C4" s="2" t="s">
        <v>45</v>
      </c>
      <c r="D4" s="3" t="s">
        <v>113</v>
      </c>
      <c r="E4" t="s">
        <v>180</v>
      </c>
      <c r="F4">
        <v>1</v>
      </c>
      <c r="G4" s="1" t="s">
        <v>184</v>
      </c>
      <c r="H4" s="1" t="s">
        <v>260</v>
      </c>
      <c r="I4">
        <f>F4*VALUE(LEFT(H4, FIND(":", H4)-1))</f>
        <v>0</v>
      </c>
      <c r="J4" t="s">
        <v>6</v>
      </c>
      <c r="K4" t="s">
        <v>18</v>
      </c>
    </row>
    <row r="5" spans="1:11">
      <c r="A5" s="2"/>
      <c r="B5" s="2"/>
      <c r="C5" s="2" t="s">
        <v>46</v>
      </c>
      <c r="D5" s="3" t="s">
        <v>114</v>
      </c>
      <c r="E5" t="s">
        <v>180</v>
      </c>
      <c r="F5">
        <v>1</v>
      </c>
      <c r="G5" s="1" t="s">
        <v>185</v>
      </c>
      <c r="H5" s="1" t="s">
        <v>260</v>
      </c>
      <c r="I5">
        <f>F5*VALUE(LEFT(H5, FIND(":", H5)-1))</f>
        <v>0</v>
      </c>
      <c r="J5" t="s">
        <v>6</v>
      </c>
      <c r="K5" t="s">
        <v>18</v>
      </c>
    </row>
    <row r="6" spans="1:11">
      <c r="A6" s="2"/>
      <c r="B6" s="2"/>
      <c r="C6" s="2" t="s">
        <v>47</v>
      </c>
      <c r="D6" s="3" t="s">
        <v>115</v>
      </c>
      <c r="E6" t="s">
        <v>180</v>
      </c>
      <c r="F6">
        <v>1</v>
      </c>
      <c r="G6" s="1" t="s">
        <v>186</v>
      </c>
      <c r="H6" s="1" t="s">
        <v>260</v>
      </c>
      <c r="I6">
        <f>F6*VALUE(LEFT(H6, FIND(":", H6)-1))</f>
        <v>0</v>
      </c>
      <c r="J6" t="s">
        <v>6</v>
      </c>
      <c r="K6" t="s">
        <v>18</v>
      </c>
    </row>
    <row r="7" spans="1:11">
      <c r="A7" s="2"/>
      <c r="B7" s="2" t="s">
        <v>19</v>
      </c>
      <c r="C7" s="2" t="s">
        <v>48</v>
      </c>
      <c r="D7" s="3" t="s">
        <v>116</v>
      </c>
      <c r="E7" t="s">
        <v>179</v>
      </c>
      <c r="F7">
        <v>1</v>
      </c>
      <c r="G7" s="1" t="s">
        <v>187</v>
      </c>
      <c r="H7" s="1" t="s">
        <v>260</v>
      </c>
      <c r="I7">
        <f>F7*VALUE(LEFT(H7, FIND(":", H7)-1))</f>
        <v>0</v>
      </c>
      <c r="J7" t="s">
        <v>6</v>
      </c>
      <c r="K7" t="s">
        <v>19</v>
      </c>
    </row>
    <row r="8" spans="1:11">
      <c r="A8" s="2"/>
      <c r="B8" s="2" t="s">
        <v>20</v>
      </c>
      <c r="C8" s="2" t="s">
        <v>49</v>
      </c>
      <c r="D8" s="3" t="s">
        <v>117</v>
      </c>
      <c r="E8" t="s">
        <v>179</v>
      </c>
      <c r="F8">
        <v>1</v>
      </c>
      <c r="H8" s="1" t="s">
        <v>261</v>
      </c>
      <c r="I8">
        <f>F8*VALUE(LEFT(H8, FIND(":", H8)-1))</f>
        <v>0</v>
      </c>
      <c r="J8" t="s">
        <v>6</v>
      </c>
      <c r="K8" t="s">
        <v>20</v>
      </c>
    </row>
    <row r="9" spans="1:11">
      <c r="A9" s="2"/>
      <c r="B9" s="2" t="s">
        <v>14</v>
      </c>
      <c r="C9" s="2" t="s">
        <v>50</v>
      </c>
      <c r="D9" s="3" t="s">
        <v>118</v>
      </c>
      <c r="E9" t="s">
        <v>181</v>
      </c>
      <c r="F9">
        <v>1</v>
      </c>
      <c r="G9" s="1" t="s">
        <v>188</v>
      </c>
      <c r="H9" s="1" t="s">
        <v>262</v>
      </c>
      <c r="I9">
        <f>F9*VALUE(LEFT(H9, FIND(":", H9)-1))</f>
        <v>0</v>
      </c>
      <c r="J9" t="s">
        <v>6</v>
      </c>
      <c r="K9" t="s">
        <v>14</v>
      </c>
    </row>
    <row r="10" spans="1:11">
      <c r="A10" s="2"/>
      <c r="B10" s="2"/>
      <c r="C10" s="2" t="s">
        <v>51</v>
      </c>
      <c r="D10" s="3" t="s">
        <v>119</v>
      </c>
      <c r="E10" t="s">
        <v>180</v>
      </c>
      <c r="F10">
        <v>1</v>
      </c>
      <c r="G10" s="1" t="s">
        <v>189</v>
      </c>
      <c r="H10" s="1" t="s">
        <v>263</v>
      </c>
      <c r="I10">
        <f>F10*VALUE(LEFT(H10, FIND(":", H10)-1))</f>
        <v>0</v>
      </c>
      <c r="J10" t="s">
        <v>6</v>
      </c>
      <c r="K10" t="s">
        <v>14</v>
      </c>
    </row>
    <row r="11" spans="1:11">
      <c r="A11" s="2"/>
      <c r="B11" s="2"/>
      <c r="C11" s="2" t="s">
        <v>52</v>
      </c>
      <c r="D11" s="3" t="s">
        <v>120</v>
      </c>
      <c r="E11" t="s">
        <v>179</v>
      </c>
      <c r="F11">
        <v>1</v>
      </c>
      <c r="G11" s="1" t="s">
        <v>190</v>
      </c>
      <c r="H11" s="1" t="s">
        <v>260</v>
      </c>
      <c r="I11">
        <f>F11*VALUE(LEFT(H11, FIND(":", H11)-1))</f>
        <v>0</v>
      </c>
      <c r="J11" t="s">
        <v>6</v>
      </c>
      <c r="K11" t="s">
        <v>14</v>
      </c>
    </row>
    <row r="12" spans="1:11">
      <c r="A12" s="2"/>
      <c r="B12" s="2" t="s">
        <v>23</v>
      </c>
      <c r="C12" s="2" t="s">
        <v>53</v>
      </c>
      <c r="D12" s="3" t="s">
        <v>121</v>
      </c>
      <c r="E12" t="s">
        <v>180</v>
      </c>
      <c r="F12">
        <v>1</v>
      </c>
      <c r="G12" s="1" t="s">
        <v>191</v>
      </c>
      <c r="H12" s="1" t="s">
        <v>260</v>
      </c>
      <c r="I12">
        <f>F12*VALUE(LEFT(H12, FIND(":", H12)-1))</f>
        <v>0</v>
      </c>
      <c r="J12" t="s">
        <v>6</v>
      </c>
      <c r="K12" t="s">
        <v>23</v>
      </c>
    </row>
    <row r="13" spans="1:11">
      <c r="A13" s="2"/>
      <c r="B13" s="2"/>
      <c r="C13" s="2" t="s">
        <v>54</v>
      </c>
      <c r="D13" s="3" t="s">
        <v>122</v>
      </c>
      <c r="E13" t="s">
        <v>180</v>
      </c>
      <c r="F13">
        <v>1</v>
      </c>
      <c r="G13" s="1" t="s">
        <v>192</v>
      </c>
      <c r="H13" s="1" t="s">
        <v>260</v>
      </c>
      <c r="I13">
        <f>F13*VALUE(LEFT(H13, FIND(":", H13)-1))</f>
        <v>0</v>
      </c>
      <c r="J13" t="s">
        <v>6</v>
      </c>
      <c r="K13" t="s">
        <v>23</v>
      </c>
    </row>
    <row r="14" spans="1:11">
      <c r="A14" s="2"/>
      <c r="B14" s="2"/>
      <c r="C14" s="2" t="s">
        <v>55</v>
      </c>
      <c r="D14" s="3" t="s">
        <v>123</v>
      </c>
      <c r="E14" t="s">
        <v>180</v>
      </c>
      <c r="F14">
        <v>1</v>
      </c>
      <c r="G14" s="1" t="s">
        <v>193</v>
      </c>
      <c r="H14" s="1" t="s">
        <v>260</v>
      </c>
      <c r="I14">
        <f>F14*VALUE(LEFT(H14, FIND(":", H14)-1))</f>
        <v>0</v>
      </c>
      <c r="J14" t="s">
        <v>6</v>
      </c>
      <c r="K14" t="s">
        <v>23</v>
      </c>
    </row>
    <row r="15" spans="1:11">
      <c r="A15" s="2"/>
      <c r="B15" s="2"/>
      <c r="C15" s="2" t="s">
        <v>56</v>
      </c>
      <c r="D15" s="3" t="s">
        <v>124</v>
      </c>
      <c r="E15" t="s">
        <v>180</v>
      </c>
      <c r="F15">
        <v>1</v>
      </c>
      <c r="G15" s="1" t="s">
        <v>194</v>
      </c>
      <c r="H15" s="1" t="s">
        <v>260</v>
      </c>
      <c r="I15">
        <f>F15*VALUE(LEFT(H15, FIND(":", H15)-1))</f>
        <v>0</v>
      </c>
      <c r="J15" t="s">
        <v>6</v>
      </c>
      <c r="K15" t="s">
        <v>23</v>
      </c>
    </row>
    <row r="16" spans="1:11">
      <c r="A16" s="2"/>
      <c r="B16" s="2"/>
      <c r="C16" s="2" t="s">
        <v>57</v>
      </c>
      <c r="D16" s="3" t="s">
        <v>125</v>
      </c>
      <c r="E16" t="s">
        <v>180</v>
      </c>
      <c r="F16">
        <v>1</v>
      </c>
      <c r="G16" s="1" t="s">
        <v>195</v>
      </c>
      <c r="H16" s="1" t="s">
        <v>260</v>
      </c>
      <c r="I16">
        <f>F16*VALUE(LEFT(H16, FIND(":", H16)-1))</f>
        <v>0</v>
      </c>
      <c r="J16" t="s">
        <v>6</v>
      </c>
      <c r="K16" t="s">
        <v>23</v>
      </c>
    </row>
    <row r="17" spans="1:11">
      <c r="A17" s="2"/>
      <c r="B17" s="2"/>
      <c r="C17" s="2" t="s">
        <v>58</v>
      </c>
      <c r="D17" s="3" t="s">
        <v>126</v>
      </c>
      <c r="E17" t="s">
        <v>180</v>
      </c>
      <c r="F17">
        <v>1</v>
      </c>
      <c r="G17" s="1" t="s">
        <v>196</v>
      </c>
      <c r="H17" s="1" t="s">
        <v>260</v>
      </c>
      <c r="I17">
        <f>F17*VALUE(LEFT(H17, FIND(":", H17)-1))</f>
        <v>0</v>
      </c>
      <c r="J17" t="s">
        <v>6</v>
      </c>
      <c r="K17" t="s">
        <v>23</v>
      </c>
    </row>
    <row r="18" spans="1:11">
      <c r="A18" s="2"/>
      <c r="B18" s="2" t="s">
        <v>24</v>
      </c>
      <c r="C18" s="2" t="s">
        <v>59</v>
      </c>
      <c r="D18" s="3" t="s">
        <v>127</v>
      </c>
      <c r="E18" t="s">
        <v>179</v>
      </c>
      <c r="F18">
        <v>1</v>
      </c>
      <c r="H18" s="1" t="s">
        <v>261</v>
      </c>
      <c r="I18">
        <f>F18*VALUE(LEFT(H18, FIND(":", H18)-1))</f>
        <v>0</v>
      </c>
      <c r="J18" t="s">
        <v>6</v>
      </c>
      <c r="K18" t="s">
        <v>24</v>
      </c>
    </row>
    <row r="19" spans="1:11">
      <c r="A19" s="2"/>
      <c r="B19" s="2"/>
      <c r="C19" s="2" t="s">
        <v>60</v>
      </c>
      <c r="D19" s="3" t="s">
        <v>128</v>
      </c>
      <c r="E19" t="s">
        <v>179</v>
      </c>
      <c r="F19">
        <v>1</v>
      </c>
      <c r="H19" s="1" t="s">
        <v>261</v>
      </c>
      <c r="I19">
        <f>F19*VALUE(LEFT(H19, FIND(":", H19)-1))</f>
        <v>0</v>
      </c>
      <c r="J19" t="s">
        <v>6</v>
      </c>
      <c r="K19" t="s">
        <v>24</v>
      </c>
    </row>
    <row r="20" spans="1:11">
      <c r="A20" s="2"/>
      <c r="B20" s="2" t="s">
        <v>17</v>
      </c>
      <c r="C20" s="2" t="s">
        <v>61</v>
      </c>
      <c r="D20" s="3" t="s">
        <v>129</v>
      </c>
      <c r="E20" t="s">
        <v>180</v>
      </c>
      <c r="F20">
        <v>1</v>
      </c>
      <c r="H20" s="1" t="s">
        <v>264</v>
      </c>
      <c r="I20">
        <f>F20*VALUE(LEFT(H20, FIND(":", H20)-1))</f>
        <v>0</v>
      </c>
      <c r="J20" t="s">
        <v>6</v>
      </c>
      <c r="K20" t="s">
        <v>17</v>
      </c>
    </row>
    <row r="21" spans="1:11">
      <c r="A21" s="2" t="s">
        <v>7</v>
      </c>
      <c r="B21" s="2" t="s">
        <v>13</v>
      </c>
      <c r="C21" s="2" t="s">
        <v>62</v>
      </c>
      <c r="D21" s="3" t="s">
        <v>130</v>
      </c>
      <c r="E21" t="s">
        <v>179</v>
      </c>
      <c r="F21">
        <v>1</v>
      </c>
      <c r="H21" s="1" t="s">
        <v>265</v>
      </c>
      <c r="I21">
        <f>F21*VALUE(LEFT(H21, FIND(":", H21)-1))</f>
        <v>0</v>
      </c>
      <c r="J21" t="s">
        <v>7</v>
      </c>
      <c r="K21" t="s">
        <v>13</v>
      </c>
    </row>
    <row r="22" spans="1:11">
      <c r="A22" s="2"/>
      <c r="B22" s="2"/>
      <c r="C22" s="2" t="s">
        <v>63</v>
      </c>
      <c r="D22" s="3" t="s">
        <v>131</v>
      </c>
      <c r="E22" t="s">
        <v>179</v>
      </c>
      <c r="F22">
        <v>1</v>
      </c>
      <c r="G22" s="1" t="s">
        <v>197</v>
      </c>
      <c r="H22" s="1" t="s">
        <v>260</v>
      </c>
      <c r="I22">
        <f>F22*VALUE(LEFT(H22, FIND(":", H22)-1))</f>
        <v>0</v>
      </c>
      <c r="J22" t="s">
        <v>7</v>
      </c>
      <c r="K22" t="s">
        <v>13</v>
      </c>
    </row>
    <row r="23" spans="1:11">
      <c r="A23" s="2"/>
      <c r="B23" s="2"/>
      <c r="C23" s="2" t="s">
        <v>64</v>
      </c>
      <c r="D23" s="3" t="s">
        <v>132</v>
      </c>
      <c r="E23" t="s">
        <v>179</v>
      </c>
      <c r="F23">
        <v>1</v>
      </c>
      <c r="H23" s="1" t="s">
        <v>266</v>
      </c>
      <c r="I23">
        <f>F23*VALUE(LEFT(H23, FIND(":", H23)-1))</f>
        <v>0</v>
      </c>
      <c r="J23" t="s">
        <v>7</v>
      </c>
      <c r="K23" t="s">
        <v>13</v>
      </c>
    </row>
    <row r="24" spans="1:11">
      <c r="A24" s="2"/>
      <c r="B24" s="2"/>
      <c r="C24" s="2" t="s">
        <v>65</v>
      </c>
      <c r="D24" s="3" t="s">
        <v>133</v>
      </c>
      <c r="E24" t="s">
        <v>179</v>
      </c>
      <c r="F24">
        <v>1</v>
      </c>
      <c r="G24" s="1" t="s">
        <v>198</v>
      </c>
      <c r="H24" s="1" t="s">
        <v>260</v>
      </c>
      <c r="I24">
        <f>F24*VALUE(LEFT(H24, FIND(":", H24)-1))</f>
        <v>0</v>
      </c>
      <c r="J24" t="s">
        <v>7</v>
      </c>
      <c r="K24" t="s">
        <v>13</v>
      </c>
    </row>
    <row r="25" spans="1:11">
      <c r="A25" s="2"/>
      <c r="B25" s="2" t="s">
        <v>26</v>
      </c>
      <c r="C25" s="2" t="s">
        <v>66</v>
      </c>
      <c r="D25" s="3" t="s">
        <v>134</v>
      </c>
      <c r="E25" t="s">
        <v>179</v>
      </c>
      <c r="F25">
        <v>1</v>
      </c>
      <c r="H25" s="1" t="s">
        <v>267</v>
      </c>
      <c r="I25">
        <f>F25*VALUE(LEFT(H25, FIND(":", H25)-1))</f>
        <v>0</v>
      </c>
      <c r="J25" t="s">
        <v>7</v>
      </c>
      <c r="K25" t="s">
        <v>26</v>
      </c>
    </row>
    <row r="26" spans="1:11">
      <c r="A26" s="2"/>
      <c r="B26" s="2"/>
      <c r="C26" s="2" t="s">
        <v>67</v>
      </c>
      <c r="D26" s="3" t="s">
        <v>135</v>
      </c>
      <c r="E26" t="s">
        <v>179</v>
      </c>
      <c r="F26">
        <v>1</v>
      </c>
      <c r="H26" s="1" t="s">
        <v>261</v>
      </c>
      <c r="I26">
        <f>F26*VALUE(LEFT(H26, FIND(":", H26)-1))</f>
        <v>0</v>
      </c>
      <c r="J26" t="s">
        <v>7</v>
      </c>
      <c r="K26" t="s">
        <v>26</v>
      </c>
    </row>
    <row r="27" spans="1:11">
      <c r="A27" s="2"/>
      <c r="B27" s="2" t="s">
        <v>28</v>
      </c>
      <c r="C27" s="2" t="s">
        <v>68</v>
      </c>
      <c r="D27" s="3" t="s">
        <v>136</v>
      </c>
      <c r="E27" t="s">
        <v>179</v>
      </c>
      <c r="F27">
        <v>1</v>
      </c>
      <c r="H27" s="1" t="s">
        <v>261</v>
      </c>
      <c r="I27">
        <f>F27*VALUE(LEFT(H27, FIND(":", H27)-1))</f>
        <v>0</v>
      </c>
      <c r="J27" t="s">
        <v>7</v>
      </c>
      <c r="K27" t="s">
        <v>28</v>
      </c>
    </row>
    <row r="28" spans="1:11">
      <c r="A28" s="2"/>
      <c r="B28" s="2"/>
      <c r="C28" s="2" t="s">
        <v>69</v>
      </c>
      <c r="D28" s="3" t="s">
        <v>137</v>
      </c>
      <c r="E28" t="s">
        <v>179</v>
      </c>
      <c r="F28">
        <v>1</v>
      </c>
      <c r="H28" s="1" t="s">
        <v>261</v>
      </c>
      <c r="I28">
        <f>F28*VALUE(LEFT(H28, FIND(":", H28)-1))</f>
        <v>0</v>
      </c>
      <c r="J28" t="s">
        <v>7</v>
      </c>
      <c r="K28" t="s">
        <v>28</v>
      </c>
    </row>
    <row r="29" spans="1:11">
      <c r="A29" s="2"/>
      <c r="B29" s="2"/>
      <c r="C29" s="2" t="s">
        <v>70</v>
      </c>
      <c r="D29" s="3" t="s">
        <v>138</v>
      </c>
      <c r="E29" t="s">
        <v>179</v>
      </c>
      <c r="F29">
        <v>1</v>
      </c>
      <c r="G29" s="1" t="s">
        <v>199</v>
      </c>
      <c r="H29" s="1" t="s">
        <v>260</v>
      </c>
      <c r="I29">
        <f>F29*VALUE(LEFT(H29, FIND(":", H29)-1))</f>
        <v>0</v>
      </c>
      <c r="J29" t="s">
        <v>7</v>
      </c>
      <c r="K29" t="s">
        <v>28</v>
      </c>
    </row>
    <row r="30" spans="1:11">
      <c r="A30" s="2"/>
      <c r="B30" s="2" t="s">
        <v>31</v>
      </c>
      <c r="C30" s="2" t="s">
        <v>71</v>
      </c>
      <c r="D30" s="3" t="s">
        <v>139</v>
      </c>
      <c r="E30" t="s">
        <v>179</v>
      </c>
      <c r="F30">
        <v>1</v>
      </c>
      <c r="H30" s="1" t="s">
        <v>268</v>
      </c>
      <c r="I30">
        <f>F30*VALUE(LEFT(H30, FIND(":", H30)-1))</f>
        <v>0</v>
      </c>
      <c r="J30" t="s">
        <v>7</v>
      </c>
      <c r="K30" t="s">
        <v>31</v>
      </c>
    </row>
    <row r="31" spans="1:11">
      <c r="A31" s="2"/>
      <c r="B31" s="2"/>
      <c r="C31" s="2" t="s">
        <v>72</v>
      </c>
      <c r="D31" s="3" t="s">
        <v>140</v>
      </c>
      <c r="E31" t="s">
        <v>179</v>
      </c>
      <c r="F31">
        <v>1</v>
      </c>
      <c r="H31" s="1" t="s">
        <v>267</v>
      </c>
      <c r="I31">
        <f>F31*VALUE(LEFT(H31, FIND(":", H31)-1))</f>
        <v>0</v>
      </c>
      <c r="J31" t="s">
        <v>7</v>
      </c>
      <c r="K31" t="s">
        <v>31</v>
      </c>
    </row>
    <row r="32" spans="1:11">
      <c r="A32" s="2" t="s">
        <v>8</v>
      </c>
      <c r="B32" s="2" t="s">
        <v>25</v>
      </c>
      <c r="C32" s="2" t="s">
        <v>73</v>
      </c>
      <c r="D32" s="3" t="s">
        <v>141</v>
      </c>
      <c r="E32" t="s">
        <v>179</v>
      </c>
      <c r="F32">
        <v>1</v>
      </c>
      <c r="H32" s="1" t="s">
        <v>269</v>
      </c>
      <c r="I32">
        <f>F32*VALUE(LEFT(H32, FIND(":", H32)-1))</f>
        <v>0</v>
      </c>
      <c r="J32" t="s">
        <v>8</v>
      </c>
      <c r="K32" t="s">
        <v>25</v>
      </c>
    </row>
    <row r="33" spans="1:11">
      <c r="A33" s="2"/>
      <c r="B33" s="2" t="s">
        <v>15</v>
      </c>
      <c r="C33" s="2" t="s">
        <v>74</v>
      </c>
      <c r="D33" s="3" t="s">
        <v>142</v>
      </c>
      <c r="E33" t="s">
        <v>179</v>
      </c>
      <c r="F33">
        <v>1</v>
      </c>
      <c r="H33" s="1" t="s">
        <v>265</v>
      </c>
      <c r="I33">
        <f>F33*VALUE(LEFT(H33, FIND(":", H33)-1))</f>
        <v>0</v>
      </c>
      <c r="J33" t="s">
        <v>8</v>
      </c>
      <c r="K33" t="s">
        <v>15</v>
      </c>
    </row>
    <row r="34" spans="1:11">
      <c r="A34" s="2"/>
      <c r="B34" s="2"/>
      <c r="C34" s="2" t="s">
        <v>75</v>
      </c>
      <c r="D34" s="3" t="s">
        <v>143</v>
      </c>
      <c r="E34" t="s">
        <v>179</v>
      </c>
      <c r="F34">
        <v>1</v>
      </c>
      <c r="H34" s="1" t="s">
        <v>265</v>
      </c>
      <c r="I34">
        <f>F34*VALUE(LEFT(H34, FIND(":", H34)-1))</f>
        <v>0</v>
      </c>
      <c r="J34" t="s">
        <v>8</v>
      </c>
      <c r="K34" t="s">
        <v>15</v>
      </c>
    </row>
    <row r="35" spans="1:11">
      <c r="A35" s="2"/>
      <c r="B35" s="2" t="s">
        <v>21</v>
      </c>
      <c r="C35" s="2" t="s">
        <v>76</v>
      </c>
      <c r="D35" s="3" t="s">
        <v>144</v>
      </c>
      <c r="E35" t="s">
        <v>179</v>
      </c>
      <c r="F35">
        <v>1</v>
      </c>
      <c r="G35" s="1" t="s">
        <v>200</v>
      </c>
      <c r="H35" s="1" t="s">
        <v>260</v>
      </c>
      <c r="I35">
        <f>F35*VALUE(LEFT(H35, FIND(":", H35)-1))</f>
        <v>0</v>
      </c>
      <c r="J35" t="s">
        <v>8</v>
      </c>
      <c r="K35" t="s">
        <v>21</v>
      </c>
    </row>
    <row r="36" spans="1:11">
      <c r="A36" s="2"/>
      <c r="B36" s="2"/>
      <c r="C36" s="2" t="s">
        <v>77</v>
      </c>
      <c r="D36" s="3" t="s">
        <v>145</v>
      </c>
      <c r="E36" t="s">
        <v>179</v>
      </c>
      <c r="F36">
        <v>1</v>
      </c>
      <c r="H36" s="1" t="s">
        <v>270</v>
      </c>
      <c r="I36">
        <f>F36*VALUE(LEFT(H36, FIND(":", H36)-1))</f>
        <v>0</v>
      </c>
      <c r="J36" t="s">
        <v>8</v>
      </c>
      <c r="K36" t="s">
        <v>21</v>
      </c>
    </row>
    <row r="37" spans="1:11">
      <c r="A37" s="2"/>
      <c r="B37" s="2"/>
      <c r="C37" s="2" t="s">
        <v>78</v>
      </c>
      <c r="D37" s="3" t="s">
        <v>146</v>
      </c>
      <c r="E37" t="s">
        <v>179</v>
      </c>
      <c r="F37">
        <v>1</v>
      </c>
      <c r="G37" s="1" t="s">
        <v>201</v>
      </c>
      <c r="H37" s="1" t="s">
        <v>267</v>
      </c>
      <c r="I37">
        <f>F37*VALUE(LEFT(H37, FIND(":", H37)-1))</f>
        <v>0</v>
      </c>
      <c r="J37" t="s">
        <v>8</v>
      </c>
      <c r="K37" t="s">
        <v>21</v>
      </c>
    </row>
    <row r="38" spans="1:11">
      <c r="A38" s="2"/>
      <c r="B38" s="2"/>
      <c r="C38" s="2" t="s">
        <v>79</v>
      </c>
      <c r="D38" s="3" t="s">
        <v>147</v>
      </c>
      <c r="E38" t="s">
        <v>179</v>
      </c>
      <c r="F38">
        <v>1</v>
      </c>
      <c r="H38" s="1" t="s">
        <v>271</v>
      </c>
      <c r="I38">
        <f>F38*VALUE(LEFT(H38, FIND(":", H38)-1))</f>
        <v>0</v>
      </c>
      <c r="J38" t="s">
        <v>8</v>
      </c>
      <c r="K38" t="s">
        <v>21</v>
      </c>
    </row>
    <row r="39" spans="1:11">
      <c r="A39" s="2"/>
      <c r="B39" s="2"/>
      <c r="C39" s="2" t="s">
        <v>80</v>
      </c>
      <c r="D39" s="3" t="s">
        <v>148</v>
      </c>
      <c r="E39" t="s">
        <v>179</v>
      </c>
      <c r="F39">
        <v>1</v>
      </c>
      <c r="G39" s="1" t="s">
        <v>202</v>
      </c>
      <c r="H39" s="1" t="s">
        <v>260</v>
      </c>
      <c r="I39">
        <f>F39*VALUE(LEFT(H39, FIND(":", H39)-1))</f>
        <v>0</v>
      </c>
      <c r="J39" t="s">
        <v>8</v>
      </c>
      <c r="K39" t="s">
        <v>21</v>
      </c>
    </row>
    <row r="40" spans="1:11">
      <c r="A40" s="2"/>
      <c r="B40" s="2" t="s">
        <v>27</v>
      </c>
      <c r="C40" s="2" t="s">
        <v>81</v>
      </c>
      <c r="D40" s="3" t="s">
        <v>149</v>
      </c>
      <c r="E40" t="s">
        <v>180</v>
      </c>
      <c r="F40">
        <v>1</v>
      </c>
      <c r="G40" s="1" t="s">
        <v>203</v>
      </c>
      <c r="H40" s="1" t="s">
        <v>260</v>
      </c>
      <c r="I40">
        <f>F40*VALUE(LEFT(H40, FIND(":", H40)-1))</f>
        <v>0</v>
      </c>
      <c r="J40" t="s">
        <v>8</v>
      </c>
      <c r="K40" t="s">
        <v>27</v>
      </c>
    </row>
    <row r="41" spans="1:11">
      <c r="A41" s="2"/>
      <c r="B41" s="2"/>
      <c r="C41" s="2" t="s">
        <v>82</v>
      </c>
      <c r="D41" s="3" t="s">
        <v>150</v>
      </c>
      <c r="E41" t="s">
        <v>180</v>
      </c>
      <c r="F41">
        <v>1</v>
      </c>
      <c r="G41" s="1" t="s">
        <v>204</v>
      </c>
      <c r="H41" s="1" t="s">
        <v>260</v>
      </c>
      <c r="I41">
        <f>F41*VALUE(LEFT(H41, FIND(":", H41)-1))</f>
        <v>0</v>
      </c>
      <c r="J41" t="s">
        <v>8</v>
      </c>
      <c r="K41" t="s">
        <v>27</v>
      </c>
    </row>
    <row r="42" spans="1:11">
      <c r="A42" s="2"/>
      <c r="B42" s="2"/>
      <c r="C42" s="2" t="s">
        <v>83</v>
      </c>
      <c r="D42" s="3" t="s">
        <v>151</v>
      </c>
      <c r="E42" t="s">
        <v>180</v>
      </c>
      <c r="F42">
        <v>1</v>
      </c>
      <c r="G42" s="1" t="s">
        <v>205</v>
      </c>
      <c r="H42" s="1" t="s">
        <v>260</v>
      </c>
      <c r="I42">
        <f>F42*VALUE(LEFT(H42, FIND(":", H42)-1))</f>
        <v>0</v>
      </c>
      <c r="J42" t="s">
        <v>8</v>
      </c>
      <c r="K42" t="s">
        <v>27</v>
      </c>
    </row>
    <row r="43" spans="1:11">
      <c r="A43" s="2"/>
      <c r="B43" s="2"/>
      <c r="C43" s="2" t="s">
        <v>84</v>
      </c>
      <c r="D43" s="3" t="s">
        <v>152</v>
      </c>
      <c r="E43" t="s">
        <v>180</v>
      </c>
      <c r="F43">
        <v>1</v>
      </c>
      <c r="G43" s="1" t="s">
        <v>206</v>
      </c>
      <c r="H43" s="1" t="s">
        <v>260</v>
      </c>
      <c r="I43">
        <f>F43*VALUE(LEFT(H43, FIND(":", H43)-1))</f>
        <v>0</v>
      </c>
      <c r="J43" t="s">
        <v>8</v>
      </c>
      <c r="K43" t="s">
        <v>27</v>
      </c>
    </row>
    <row r="44" spans="1:11">
      <c r="A44" s="2"/>
      <c r="B44" s="2"/>
      <c r="C44" s="2" t="s">
        <v>85</v>
      </c>
      <c r="D44" s="3" t="s">
        <v>153</v>
      </c>
      <c r="E44" t="s">
        <v>179</v>
      </c>
      <c r="F44">
        <v>1</v>
      </c>
      <c r="G44" s="1" t="s">
        <v>207</v>
      </c>
      <c r="H44" s="1" t="s">
        <v>260</v>
      </c>
      <c r="I44">
        <f>F44*VALUE(LEFT(H44, FIND(":", H44)-1))</f>
        <v>0</v>
      </c>
      <c r="J44" t="s">
        <v>8</v>
      </c>
      <c r="K44" t="s">
        <v>27</v>
      </c>
    </row>
    <row r="45" spans="1:11">
      <c r="A45" s="2"/>
      <c r="B45" s="2"/>
      <c r="C45" s="2" t="s">
        <v>86</v>
      </c>
      <c r="D45" s="3" t="s">
        <v>154</v>
      </c>
      <c r="E45" t="s">
        <v>179</v>
      </c>
      <c r="F45">
        <v>1</v>
      </c>
      <c r="H45" s="1" t="s">
        <v>267</v>
      </c>
      <c r="I45">
        <f>F45*VALUE(LEFT(H45, FIND(":", H45)-1))</f>
        <v>0</v>
      </c>
      <c r="J45" t="s">
        <v>8</v>
      </c>
      <c r="K45" t="s">
        <v>27</v>
      </c>
    </row>
    <row r="46" spans="1:11">
      <c r="A46" s="2"/>
      <c r="B46" s="2"/>
      <c r="C46" s="2" t="s">
        <v>87</v>
      </c>
      <c r="D46" s="3" t="s">
        <v>155</v>
      </c>
      <c r="E46" t="s">
        <v>180</v>
      </c>
      <c r="F46">
        <v>1</v>
      </c>
      <c r="G46" s="1" t="s">
        <v>208</v>
      </c>
      <c r="H46" s="1" t="s">
        <v>260</v>
      </c>
      <c r="I46">
        <f>F46*VALUE(LEFT(H46, FIND(":", H46)-1))</f>
        <v>0</v>
      </c>
      <c r="J46" t="s">
        <v>8</v>
      </c>
      <c r="K46" t="s">
        <v>27</v>
      </c>
    </row>
    <row r="47" spans="1:11">
      <c r="A47" s="2"/>
      <c r="B47" s="2" t="s">
        <v>30</v>
      </c>
      <c r="C47" s="2" t="s">
        <v>88</v>
      </c>
      <c r="D47" s="3" t="s">
        <v>156</v>
      </c>
      <c r="E47" t="s">
        <v>179</v>
      </c>
      <c r="F47">
        <v>1</v>
      </c>
      <c r="G47" s="1" t="s">
        <v>209</v>
      </c>
      <c r="H47" s="1" t="s">
        <v>260</v>
      </c>
      <c r="I47">
        <f>F47*VALUE(LEFT(H47, FIND(":", H47)-1))</f>
        <v>0</v>
      </c>
      <c r="J47" t="s">
        <v>8</v>
      </c>
      <c r="K47" t="s">
        <v>30</v>
      </c>
    </row>
    <row r="48" spans="1:11">
      <c r="A48" s="2"/>
      <c r="B48" s="2"/>
      <c r="C48" s="2" t="s">
        <v>89</v>
      </c>
      <c r="D48" s="3" t="s">
        <v>157</v>
      </c>
      <c r="E48" t="s">
        <v>180</v>
      </c>
      <c r="F48">
        <v>1</v>
      </c>
      <c r="G48" s="1" t="s">
        <v>210</v>
      </c>
      <c r="H48" s="1" t="s">
        <v>260</v>
      </c>
      <c r="I48">
        <f>F48*VALUE(LEFT(H48, FIND(":", H48)-1))</f>
        <v>0</v>
      </c>
      <c r="J48" t="s">
        <v>8</v>
      </c>
      <c r="K48" t="s">
        <v>30</v>
      </c>
    </row>
    <row r="49" spans="1:11">
      <c r="A49" s="2"/>
      <c r="B49" s="2"/>
      <c r="C49" s="2" t="s">
        <v>90</v>
      </c>
      <c r="D49" s="3" t="s">
        <v>158</v>
      </c>
      <c r="E49" t="s">
        <v>180</v>
      </c>
      <c r="F49">
        <v>1</v>
      </c>
      <c r="G49" s="1" t="s">
        <v>211</v>
      </c>
      <c r="H49" s="1" t="s">
        <v>260</v>
      </c>
      <c r="I49">
        <f>F49*VALUE(LEFT(H49, FIND(":", H49)-1))</f>
        <v>0</v>
      </c>
      <c r="J49" t="s">
        <v>8</v>
      </c>
      <c r="K49" t="s">
        <v>30</v>
      </c>
    </row>
    <row r="50" spans="1:11">
      <c r="A50" s="2"/>
      <c r="B50" s="2"/>
      <c r="C50" s="2" t="s">
        <v>91</v>
      </c>
      <c r="D50" s="3" t="s">
        <v>159</v>
      </c>
      <c r="E50" t="s">
        <v>180</v>
      </c>
      <c r="F50">
        <v>1</v>
      </c>
      <c r="G50" s="1" t="s">
        <v>212</v>
      </c>
      <c r="H50" s="1" t="s">
        <v>260</v>
      </c>
      <c r="I50">
        <f>F50*VALUE(LEFT(H50, FIND(":", H50)-1))</f>
        <v>0</v>
      </c>
      <c r="J50" t="s">
        <v>8</v>
      </c>
      <c r="K50" t="s">
        <v>30</v>
      </c>
    </row>
    <row r="51" spans="1:11">
      <c r="A51" s="2"/>
      <c r="B51" s="2"/>
      <c r="C51" s="2" t="s">
        <v>92</v>
      </c>
      <c r="D51" s="3" t="s">
        <v>160</v>
      </c>
      <c r="E51" t="s">
        <v>180</v>
      </c>
      <c r="F51">
        <v>1</v>
      </c>
      <c r="G51" s="1" t="s">
        <v>213</v>
      </c>
      <c r="H51" s="1" t="s">
        <v>260</v>
      </c>
      <c r="I51">
        <f>F51*VALUE(LEFT(H51, FIND(":", H51)-1))</f>
        <v>0</v>
      </c>
      <c r="J51" t="s">
        <v>8</v>
      </c>
      <c r="K51" t="s">
        <v>30</v>
      </c>
    </row>
    <row r="52" spans="1:11">
      <c r="A52" s="2"/>
      <c r="B52" s="2"/>
      <c r="C52" s="2" t="s">
        <v>93</v>
      </c>
      <c r="D52" s="3" t="s">
        <v>161</v>
      </c>
      <c r="E52" t="s">
        <v>179</v>
      </c>
      <c r="F52">
        <v>1</v>
      </c>
      <c r="H52" s="1" t="s">
        <v>270</v>
      </c>
      <c r="I52">
        <f>F52*VALUE(LEFT(H52, FIND(":", H52)-1))</f>
        <v>0</v>
      </c>
      <c r="J52" t="s">
        <v>8</v>
      </c>
      <c r="K52" t="s">
        <v>30</v>
      </c>
    </row>
    <row r="53" spans="1:11">
      <c r="A53" s="2" t="s">
        <v>9</v>
      </c>
      <c r="B53" s="2" t="s">
        <v>11</v>
      </c>
      <c r="C53" s="2" t="s">
        <v>94</v>
      </c>
      <c r="D53" s="3" t="s">
        <v>162</v>
      </c>
      <c r="E53" t="s">
        <v>179</v>
      </c>
      <c r="F53">
        <v>1</v>
      </c>
      <c r="G53" s="1" t="s">
        <v>214</v>
      </c>
      <c r="H53" s="1" t="s">
        <v>260</v>
      </c>
      <c r="I53">
        <f>F53*VALUE(LEFT(H53, FIND(":", H53)-1))</f>
        <v>0</v>
      </c>
      <c r="J53" t="s">
        <v>9</v>
      </c>
      <c r="K53" t="s">
        <v>11</v>
      </c>
    </row>
    <row r="54" spans="1:11">
      <c r="A54" s="2"/>
      <c r="B54" s="2"/>
      <c r="C54" s="2" t="s">
        <v>95</v>
      </c>
      <c r="D54" s="3" t="s">
        <v>163</v>
      </c>
      <c r="E54" t="s">
        <v>179</v>
      </c>
      <c r="F54">
        <v>1</v>
      </c>
      <c r="G54" s="1" t="s">
        <v>215</v>
      </c>
      <c r="H54" s="1" t="s">
        <v>267</v>
      </c>
      <c r="I54">
        <f>F54*VALUE(LEFT(H54, FIND(":", H54)-1))</f>
        <v>0</v>
      </c>
      <c r="J54" t="s">
        <v>9</v>
      </c>
      <c r="K54" t="s">
        <v>11</v>
      </c>
    </row>
    <row r="55" spans="1:11">
      <c r="A55" s="2"/>
      <c r="B55" s="2"/>
      <c r="C55" s="2" t="s">
        <v>96</v>
      </c>
      <c r="D55" s="3" t="s">
        <v>164</v>
      </c>
      <c r="E55" t="s">
        <v>179</v>
      </c>
      <c r="F55">
        <v>1</v>
      </c>
      <c r="G55" s="1" t="s">
        <v>216</v>
      </c>
      <c r="H55" s="1" t="s">
        <v>260</v>
      </c>
      <c r="I55">
        <f>F55*VALUE(LEFT(H55, FIND(":", H55)-1))</f>
        <v>0</v>
      </c>
      <c r="J55" t="s">
        <v>9</v>
      </c>
      <c r="K55" t="s">
        <v>11</v>
      </c>
    </row>
    <row r="56" spans="1:11">
      <c r="A56" s="2"/>
      <c r="B56" s="2"/>
      <c r="C56" s="2" t="s">
        <v>97</v>
      </c>
      <c r="D56" s="3" t="s">
        <v>165</v>
      </c>
      <c r="E56" t="s">
        <v>179</v>
      </c>
      <c r="F56">
        <v>1</v>
      </c>
      <c r="G56" s="1" t="s">
        <v>217</v>
      </c>
      <c r="H56" s="1" t="s">
        <v>267</v>
      </c>
      <c r="I56">
        <f>F56*VALUE(LEFT(H56, FIND(":", H56)-1))</f>
        <v>0</v>
      </c>
      <c r="J56" t="s">
        <v>9</v>
      </c>
      <c r="K56" t="s">
        <v>11</v>
      </c>
    </row>
    <row r="57" spans="1:11">
      <c r="A57" s="2"/>
      <c r="B57" s="2"/>
      <c r="C57" s="2" t="s">
        <v>98</v>
      </c>
      <c r="D57" s="3" t="s">
        <v>166</v>
      </c>
      <c r="E57" t="s">
        <v>179</v>
      </c>
      <c r="F57">
        <v>1</v>
      </c>
      <c r="G57" s="1" t="s">
        <v>218</v>
      </c>
      <c r="H57" s="1" t="s">
        <v>267</v>
      </c>
      <c r="I57">
        <f>F57*VALUE(LEFT(H57, FIND(":", H57)-1))</f>
        <v>0</v>
      </c>
      <c r="J57" t="s">
        <v>9</v>
      </c>
      <c r="K57" t="s">
        <v>11</v>
      </c>
    </row>
    <row r="58" spans="1:11">
      <c r="A58" s="2"/>
      <c r="B58" s="2"/>
      <c r="C58" s="2" t="s">
        <v>99</v>
      </c>
      <c r="D58" s="3" t="s">
        <v>167</v>
      </c>
      <c r="E58" t="s">
        <v>179</v>
      </c>
      <c r="F58">
        <v>1</v>
      </c>
      <c r="G58" s="1" t="s">
        <v>219</v>
      </c>
      <c r="H58" s="1" t="s">
        <v>260</v>
      </c>
      <c r="I58">
        <f>F58*VALUE(LEFT(H58, FIND(":", H58)-1))</f>
        <v>0</v>
      </c>
      <c r="J58" t="s">
        <v>9</v>
      </c>
      <c r="K58" t="s">
        <v>11</v>
      </c>
    </row>
    <row r="59" spans="1:11">
      <c r="A59" s="2"/>
      <c r="B59" s="2" t="s">
        <v>12</v>
      </c>
      <c r="C59" s="2" t="s">
        <v>100</v>
      </c>
      <c r="D59" s="3" t="s">
        <v>168</v>
      </c>
      <c r="E59" t="s">
        <v>179</v>
      </c>
      <c r="F59">
        <v>1</v>
      </c>
      <c r="G59" s="1" t="s">
        <v>220</v>
      </c>
      <c r="H59" s="1" t="s">
        <v>260</v>
      </c>
      <c r="I59">
        <f>F59*VALUE(LEFT(H59, FIND(":", H59)-1))</f>
        <v>0</v>
      </c>
      <c r="J59" t="s">
        <v>9</v>
      </c>
      <c r="K59" t="s">
        <v>12</v>
      </c>
    </row>
    <row r="60" spans="1:11">
      <c r="A60" s="2"/>
      <c r="B60" s="2"/>
      <c r="C60" s="2" t="s">
        <v>101</v>
      </c>
      <c r="D60" s="3" t="s">
        <v>169</v>
      </c>
      <c r="E60" t="s">
        <v>179</v>
      </c>
      <c r="F60">
        <v>1</v>
      </c>
      <c r="G60" s="1" t="s">
        <v>221</v>
      </c>
      <c r="H60" s="1" t="s">
        <v>260</v>
      </c>
      <c r="I60">
        <f>F60*VALUE(LEFT(H60, FIND(":", H60)-1))</f>
        <v>0</v>
      </c>
      <c r="J60" t="s">
        <v>9</v>
      </c>
      <c r="K60" t="s">
        <v>12</v>
      </c>
    </row>
    <row r="61" spans="1:11">
      <c r="A61" s="2"/>
      <c r="B61" s="2"/>
      <c r="C61" s="2" t="s">
        <v>102</v>
      </c>
      <c r="D61" s="3" t="s">
        <v>170</v>
      </c>
      <c r="E61" t="s">
        <v>179</v>
      </c>
      <c r="F61">
        <v>1</v>
      </c>
      <c r="H61" s="1" t="s">
        <v>272</v>
      </c>
      <c r="I61">
        <f>F61*VALUE(LEFT(H61, FIND(":", H61)-1))</f>
        <v>0</v>
      </c>
      <c r="J61" t="s">
        <v>9</v>
      </c>
      <c r="K61" t="s">
        <v>12</v>
      </c>
    </row>
    <row r="62" spans="1:11">
      <c r="A62" s="2"/>
      <c r="B62" s="2"/>
      <c r="C62" s="2" t="s">
        <v>103</v>
      </c>
      <c r="D62" s="3" t="s">
        <v>171</v>
      </c>
      <c r="E62" t="s">
        <v>179</v>
      </c>
      <c r="F62">
        <v>1</v>
      </c>
      <c r="G62" s="1" t="s">
        <v>222</v>
      </c>
      <c r="H62" s="1" t="s">
        <v>260</v>
      </c>
      <c r="I62">
        <f>F62*VALUE(LEFT(H62, FIND(":", H62)-1))</f>
        <v>0</v>
      </c>
      <c r="J62" t="s">
        <v>9</v>
      </c>
      <c r="K62" t="s">
        <v>12</v>
      </c>
    </row>
    <row r="63" spans="1:11">
      <c r="A63" s="2"/>
      <c r="B63" s="2" t="s">
        <v>16</v>
      </c>
      <c r="C63" s="2" t="s">
        <v>104</v>
      </c>
      <c r="D63" s="3" t="s">
        <v>172</v>
      </c>
      <c r="E63" t="s">
        <v>179</v>
      </c>
      <c r="F63">
        <v>1</v>
      </c>
      <c r="H63" s="1" t="s">
        <v>273</v>
      </c>
      <c r="I63">
        <f>F63*VALUE(LEFT(H63, FIND(":", H63)-1))</f>
        <v>0</v>
      </c>
      <c r="J63" t="s">
        <v>9</v>
      </c>
      <c r="K63" t="s">
        <v>16</v>
      </c>
    </row>
    <row r="64" spans="1:11">
      <c r="A64" s="2"/>
      <c r="B64" s="2"/>
      <c r="C64" s="2" t="s">
        <v>105</v>
      </c>
      <c r="D64" s="3" t="s">
        <v>173</v>
      </c>
      <c r="E64" t="s">
        <v>179</v>
      </c>
      <c r="F64">
        <v>1</v>
      </c>
      <c r="G64" s="1" t="s">
        <v>223</v>
      </c>
      <c r="H64" s="1" t="s">
        <v>260</v>
      </c>
      <c r="I64">
        <f>F64*VALUE(LEFT(H64, FIND(":", H64)-1))</f>
        <v>0</v>
      </c>
      <c r="J64" t="s">
        <v>9</v>
      </c>
      <c r="K64" t="s">
        <v>16</v>
      </c>
    </row>
    <row r="65" spans="1:11">
      <c r="A65" s="2"/>
      <c r="B65" s="2"/>
      <c r="C65" s="2" t="s">
        <v>106</v>
      </c>
      <c r="D65" s="3" t="s">
        <v>174</v>
      </c>
      <c r="E65" t="s">
        <v>179</v>
      </c>
      <c r="F65">
        <v>1</v>
      </c>
      <c r="G65" s="1" t="s">
        <v>224</v>
      </c>
      <c r="H65" s="1" t="s">
        <v>260</v>
      </c>
      <c r="I65">
        <f>F65*VALUE(LEFT(H65, FIND(":", H65)-1))</f>
        <v>0</v>
      </c>
      <c r="J65" t="s">
        <v>9</v>
      </c>
      <c r="K65" t="s">
        <v>16</v>
      </c>
    </row>
    <row r="66" spans="1:11">
      <c r="A66" s="2"/>
      <c r="B66" s="2"/>
      <c r="C66" s="2" t="s">
        <v>107</v>
      </c>
      <c r="D66" s="3" t="s">
        <v>175</v>
      </c>
      <c r="E66" t="s">
        <v>182</v>
      </c>
      <c r="F66">
        <v>1</v>
      </c>
      <c r="H66" s="1" t="s">
        <v>273</v>
      </c>
      <c r="I66">
        <f>F66*VALUE(LEFT(H66, FIND(":", H66)-1))</f>
        <v>0</v>
      </c>
      <c r="J66" t="s">
        <v>9</v>
      </c>
      <c r="K66" t="s">
        <v>16</v>
      </c>
    </row>
    <row r="67" spans="1:11">
      <c r="A67" s="2"/>
      <c r="B67" s="2" t="s">
        <v>29</v>
      </c>
      <c r="C67" s="2" t="s">
        <v>108</v>
      </c>
      <c r="D67" s="3" t="s">
        <v>176</v>
      </c>
      <c r="E67" t="s">
        <v>179</v>
      </c>
      <c r="F67">
        <v>1</v>
      </c>
      <c r="G67" s="1" t="s">
        <v>225</v>
      </c>
      <c r="H67" s="1" t="s">
        <v>260</v>
      </c>
      <c r="I67">
        <f>F67*VALUE(LEFT(H67, FIND(":", H67)-1))</f>
        <v>0</v>
      </c>
      <c r="J67" t="s">
        <v>9</v>
      </c>
      <c r="K67" t="s">
        <v>29</v>
      </c>
    </row>
    <row r="68" spans="1:11">
      <c r="A68" s="2"/>
      <c r="B68" s="2"/>
      <c r="C68" s="2" t="s">
        <v>109</v>
      </c>
      <c r="D68" s="3" t="s">
        <v>177</v>
      </c>
      <c r="E68" t="s">
        <v>179</v>
      </c>
      <c r="F68">
        <v>1</v>
      </c>
      <c r="G68" s="1" t="s">
        <v>226</v>
      </c>
      <c r="H68" s="1" t="s">
        <v>260</v>
      </c>
      <c r="I68">
        <f>F68*VALUE(LEFT(H68, FIND(":", H68)-1))</f>
        <v>0</v>
      </c>
      <c r="J68" t="s">
        <v>9</v>
      </c>
      <c r="K68" t="s">
        <v>29</v>
      </c>
    </row>
    <row r="69" spans="1:11">
      <c r="A69" s="2"/>
      <c r="B69" s="2"/>
      <c r="C69" s="2" t="s">
        <v>110</v>
      </c>
      <c r="D69" s="3" t="s">
        <v>178</v>
      </c>
      <c r="E69" t="s">
        <v>179</v>
      </c>
      <c r="F69">
        <v>1</v>
      </c>
      <c r="H69" s="1" t="s">
        <v>274</v>
      </c>
      <c r="I69">
        <f>F69*VALUE(LEFT(H69, FIND(":", H69)-1))</f>
        <v>0</v>
      </c>
      <c r="J69" t="s">
        <v>9</v>
      </c>
      <c r="K69" t="s">
        <v>29</v>
      </c>
    </row>
  </sheetData>
  <mergeCells count="20">
    <mergeCell ref="A2:A20"/>
    <mergeCell ref="A21:A31"/>
    <mergeCell ref="A32:A52"/>
    <mergeCell ref="A53:A69"/>
    <mergeCell ref="B3:B6"/>
    <mergeCell ref="B9:B11"/>
    <mergeCell ref="B12:B17"/>
    <mergeCell ref="B18:B19"/>
    <mergeCell ref="B21:B24"/>
    <mergeCell ref="B25:B26"/>
    <mergeCell ref="B27:B29"/>
    <mergeCell ref="B30:B31"/>
    <mergeCell ref="B33:B34"/>
    <mergeCell ref="B35:B39"/>
    <mergeCell ref="B40:B46"/>
    <mergeCell ref="B47:B52"/>
    <mergeCell ref="B53:B58"/>
    <mergeCell ref="B59:B62"/>
    <mergeCell ref="B63:B66"/>
    <mergeCell ref="B67:B69"/>
  </mergeCells>
  <dataValidations count="68">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 items completed,5: 1 item completed,10: 2 items completed"</formula1>
    </dataValidation>
    <dataValidation type="list" allowBlank="1" showInputMessage="1" showErrorMessage="1" sqref="H8">
      <formula1>"0: Not done,10: Defined"</formula1>
    </dataValidation>
    <dataValidation type="list" allowBlank="1" showInputMessage="1" showErrorMessage="1" sqref="H9">
      <formula1>"0: Low Maturity. Score Range (0-8),4: Developing. Score Range (9-17),7: Established. Score Range (18-24),10: Optimizing. Score Range (25-29)"</formula1>
    </dataValidation>
    <dataValidation type="list" allowBlank="1" showInputMessage="1" showErrorMessage="1" sqref="H10">
      <formula1>"0: Low Maturity. Score Range (0-15),4: Developing. Score Range (16-31),7: Established. Score Range (32-44),10: Optimizing. Score Range (45-52)"</formula1>
    </dataValidation>
    <dataValidation type="list" allowBlank="1" showInputMessage="1" showErrorMessage="1" sqref="H11">
      <formula1>"0: No items completed,2: 1 item completed,4: 2 items completed,6: 3 items completed,8: 4 items completed,10: 5 items completed"</formula1>
    </dataValidation>
    <dataValidation type="list" allowBlank="1" showInputMessage="1" showErrorMessage="1" sqref="H12">
      <formula1>"0: No items completed,2: item 1 completed,4: items 1-2 completed,6: items 1-3 completed,8: items 1-4 completed,10: items 1-5 completed"</formula1>
    </dataValidation>
    <dataValidation type="list" allowBlank="1" showInputMessage="1" showErrorMessage="1" sqref="H13">
      <formula1>"0: No items completed,2: 1 item completed,4: 2 items completed,6: 3 items completed,8: 4 items completed,10: 5 items completed"</formula1>
    </dataValidation>
    <dataValidation type="list" allowBlank="1" showInputMessage="1" showErrorMessage="1" sqref="H14">
      <formula1>"0: No items completed,4: 1 item completed,7: 2 items completed,10: 3 items completed"</formula1>
    </dataValidation>
    <dataValidation type="list" allowBlank="1" showInputMessage="1" showErrorMessage="1" sqref="H15">
      <formula1>"0: No items completed,4: 1 item completed,7: 2 items completed,10: 3 items completed"</formula1>
    </dataValidation>
    <dataValidation type="list" allowBlank="1" showInputMessage="1" showErrorMessage="1" sqref="H16">
      <formula1>"0: No items completed,3: item 1 completed,5: items 1-2 completed,8: items 1-3 completed,10: items 1-4 completed"</formula1>
    </dataValidation>
    <dataValidation type="list" allowBlank="1" showInputMessage="1" showErrorMessage="1" sqref="H17">
      <formula1>"0: No items completed,4: 1 item completed,7: 2 items completed,10: 3 items completed"</formula1>
    </dataValidation>
    <dataValidation type="list" allowBlank="1" showInputMessage="1" showErrorMessage="1" sqref="H18">
      <formula1>"0: Not done,10: Done and clearly defined"</formula1>
    </dataValidation>
    <dataValidation type="list" allowBlank="1" showInputMessage="1" showErrorMessage="1" sqref="H19">
      <formula1>"0: Not done,10: Defined"</formula1>
    </dataValidation>
    <dataValidation type="list" allowBlank="1" showInputMessage="1" showErrorMessage="1" sqref="H20">
      <formula1>"0: No executive sponsor identified,10: Executive sponsor formally identified and actively engaged"</formula1>
    </dataValidation>
    <dataValidation type="list" allowBlank="1" showInputMessage="1" showErrorMessage="1" sqref="H21">
      <formula1>"0: Does not exist,10: Exists"</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documented method,10: Documented method of assessing modernization efforts"</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0%,1: 10%,2: 20%,3: 30%,4: 40%,5: 50%,6: 60%,7: 70%,8: 80%,9: 90%,10: Near 100%"</formula1>
    </dataValidation>
    <dataValidation type="list" allowBlank="1" showInputMessage="1" showErrorMessage="1" sqref="H26">
      <formula1>"0: Not done,10: Policy in place and published"</formula1>
    </dataValidation>
    <dataValidation type="list" allowBlank="1" showInputMessage="1" showErrorMessage="1" sqref="H27">
      <formula1>"0: Not done,10: Policy in place and published"</formula1>
    </dataValidation>
    <dataValidation type="list" allowBlank="1" showInputMessage="1" showErrorMessage="1" sqref="H28">
      <formula1>"0: Not done,10: Policy in place and published"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teardown/shutdown policy,3: Published policy,6: Classification tagged or otherwise identifiable,10: Enforced Policy with tagged/identifiable classifications"</formula1>
    </dataValidation>
    <dataValidation type="list" allowBlank="1" showInputMessage="1" showErrorMessage="1" sqref="H31">
      <formula1>"0: 0%,1: 10%,2: 20%,3: 30%,4: 40%,5: 50%,6: 60%,7: 70%,8: 80%,9: 90%,10: Near 100%"</formula1>
    </dataValidation>
    <dataValidation type="list" allowBlank="1" showInputMessage="1" showErrorMessage="1" sqref="H32">
      <formula1>"0: No review of trends,3: Manual review of trends,6: Automated trend detection,10: Manual review and automated trend detection"</formula1>
    </dataValidation>
    <dataValidation type="list" allowBlank="1" showInputMessage="1" showErrorMessage="1" sqref="H33">
      <formula1>"0: Does not exist,10: Exists"</formula1>
    </dataValidation>
    <dataValidation type="list" allowBlank="1" showInputMessage="1" showErrorMessage="1" sqref="H34">
      <formula1>"0: Does not exist,10: Exists"</formula1>
    </dataValidation>
    <dataValidation type="list" allowBlank="1" showInputMessage="1" showErrorMessage="1" sqref="H35">
      <formula1>"0: No items completed,3: 1 item completed,5: 2 items completed,8: 3 items completed,10: 4 items completed"</formula1>
    </dataValidation>
    <dataValidation type="list" allowBlank="1" showInputMessage="1" showErrorMessage="1" sqref="H36">
      <formula1>"0: None,1: Annual,2: Quarterly,5: Monthly,7: Bi-Weekly,8: Weekly,10: Daily"</formula1>
    </dataValidation>
    <dataValidation type="list" allowBlank="1" showInputMessage="1" showErrorMessage="1" sqref="H37">
      <formula1>"0: 0%,1: 10%,2: 20%,3: 30%,4: 40%,5: 50%,6: 60%,7: 70%,8: 80%,9: 90%,10: Near 100%"</formula1>
    </dataValidation>
    <dataValidation type="list" allowBlank="1" showInputMessage="1" showErrorMessage="1" sqref="H38">
      <formula1>"0: No alerting,10: Alerting exists"</formula1>
    </dataValidation>
    <dataValidation type="list" allowBlank="1" showInputMessage="1" showErrorMessage="1" sqref="H39">
      <formula1>"0: No items completed,3: 1 item completed,5: 2 items completed,8: 3 items completed,10: 4 items completed"</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items completed,2: 1 item completed,4: 2 items completed,6: 3 items completed,8: 4 items completed,10: 5 items completed"</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completed,5: item 1 completed,10: item 2 completed"</formula1>
    </dataValidation>
    <dataValidation type="list" allowBlank="1" showInputMessage="1" showErrorMessage="1" sqref="H44">
      <formula1>"0: No items completed,4: 1 item completed,7: 2 items completed,10: 3 items completed"</formula1>
    </dataValidation>
    <dataValidation type="list" allowBlank="1" showInputMessage="1" showErrorMessage="1" sqref="H45">
      <formula1>"0: 0%,1: 10%,2: 20%,3: 30%,4: 40%,5: 50%,6: 60%,7: 70%,8: 80%,9: 90%,10: Near 100%"</formula1>
    </dataValidation>
    <dataValidation type="list" allowBlank="1" showInputMessage="1" showErrorMessage="1" sqref="H46">
      <formula1>"0: No items completed,3: 1 item completed,5: 2 items completed,8: 3 items completed,10: 4 items completed"</formula1>
    </dataValidation>
    <dataValidation type="list" allowBlank="1" showInputMessage="1" showErrorMessage="1" sqref="H47">
      <formula1>"0: No items completed,3: 1 item completed,5: 2 items completed,8: 3 items completed,10: 4 items completed"</formula1>
    </dataValidation>
    <dataValidation type="list" allowBlank="1" showInputMessage="1" showErrorMessage="1" sqref="H48">
      <formula1>"0: No items completed,2: 1 item completed,4: 2 items completed,5: 3 items completed,7: 4 items completed,9: 5 items completed,10: 6 items completed"</formula1>
    </dataValidation>
    <dataValidation type="list" allowBlank="1" showInputMessage="1" showErrorMessage="1" sqref="H49">
      <formula1>"0: No items completed,2: 1 item completed,4: 2 items completed,5: 3 items completed,7: 4 items completed,9: 5 items completed,10: 6 items completed"</formula1>
    </dataValidation>
    <dataValidation type="list" allowBlank="1" showInputMessage="1" showErrorMessage="1" sqref="H50">
      <formula1>"0: No items completed,3: 1 item completed,5: 2 items completed,8: 3 items completed,10: 4 items completed"</formula1>
    </dataValidation>
    <dataValidation type="list" allowBlank="1" showInputMessage="1" showErrorMessage="1" sqref="H51">
      <formula1>"0: No items completed,3: 1 item completed,5: 2 items completed,8: 3 items completed,10: 4 items completed"</formula1>
    </dataValidation>
    <dataValidation type="list" allowBlank="1" showInputMessage="1" showErrorMessage="1" sqref="H52">
      <formula1>"0: None,10: communicates wins in KPI thresholds and unit costs"</formula1>
    </dataValidation>
    <dataValidation type="list" allowBlank="1" showInputMessage="1" showErrorMessage="1" sqref="H53">
      <formula1>"0: No items completed,5: 1 item completed,10: 2 items completed"</formula1>
    </dataValidation>
    <dataValidation type="list" allowBlank="1" showInputMessage="1" showErrorMessage="1" sqref="H54">
      <formula1>"0: 0%,1: 10%,2: 20%,3: 30%,4: 40%,5: 50%,6: 60%,7: 70%,8: 80% ,9: 90%,10: Near 100%"</formula1>
    </dataValidation>
    <dataValidation type="list" allowBlank="1" showInputMessage="1" showErrorMessage="1" sqref="H55">
      <formula1>"0: No items completed,5: 1 item  completed,10: 2 items completed"</formula1>
    </dataValidation>
    <dataValidation type="list" allowBlank="1" showInputMessage="1" showErrorMessage="1" sqref="H56">
      <formula1>"0: 0%,1: 10%,2: 20%,3: 30%,4: 40%,5: 50%,6: 60%,7: 70%,8: 80%,9: 90%,10: Near 100%"</formula1>
    </dataValidation>
    <dataValidation type="list" allowBlank="1" showInputMessage="1" showErrorMessage="1" sqref="H57">
      <formula1>"0: 0%,1: 10%,2: 20%,3: 30%,4: 40%,5: 50%,6: 60%,7: 70%,8: 80%,9: 90%,10: Near 100%"</formula1>
    </dataValidation>
    <dataValidation type="list" allowBlank="1" showInputMessage="1" showErrorMessage="1" sqref="H58">
      <formula1>"0: No items completed,3: 1 item completed,5: 2 items completed,8: 3 items completed,10: 4 items completed"</formula1>
    </dataValidation>
    <dataValidation type="list" allowBlank="1" showInputMessage="1" showErrorMessage="1" sqref="H59">
      <formula1>"0: No items completed,2: 1 item completed,4: 2 items completed,6: 3 items completed,8: 4 items completed,10: 5 items completed"</formula1>
    </dataValidation>
    <dataValidation type="list" allowBlank="1" showInputMessage="1" showErrorMessage="1" sqref="H60">
      <formula1>"0: No items completed,2: 1 item completed,4: 2 items completed,5: 3 items completed,7: 4 items completed,9: 5 items completed,10: 6 items completed"</formula1>
    </dataValidation>
    <dataValidation type="list" allowBlank="1" showInputMessage="1" showErrorMessage="1" sqref="H61">
      <formula1>"0: No alerting to any owners,1: Alerting in at least one owner,3: Alerting to some owners [&gt;20%],6: Alerting to most owners [&gt;60%],10: Alerting to all owners [100%]"</formula1>
    </dataValidation>
    <dataValidation type="list" allowBlank="1" showInputMessage="1" showErrorMessage="1" sqref="H62">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3">
      <formula1>"0: Never,1: Monthly or greater,2: More than a week,3: 7 days,4: 5 days,6: 2 days,8: 1 day,10: Instant"</formula1>
    </dataValidation>
    <dataValidation type="list" allowBlank="1" showInputMessage="1" showErrorMessage="1" sqref="H64">
      <formula1>"0: No items completed,2: 1 items completed,3: 2 items completed,5: 3 items completed,6: 4 items completed,8: 5 items completed,9: 6 items completed,10: 7 items completed"</formula1>
    </dataValidation>
    <dataValidation type="list" allowBlank="1" showInputMessage="1" showErrorMessage="1" sqref="H65">
      <formula1>"0: No items completed,2: 1 items completed,3: 2 items completed,5: 3 items completed,6: 4 items completed,8: 5 items completed,9: 6 items completed,10: 7 items completed"</formula1>
    </dataValidation>
    <dataValidation type="list" allowBlank="1" showInputMessage="1" showErrorMessage="1" sqref="H66">
      <formula1>"0: Never,1: Monthly or greater,2: More than a week,3: 7 days,4: 5 days,6: 2 days,8: 1 day,10: Instant"</formula1>
    </dataValidation>
    <dataValidation type="list" allowBlank="1" showInputMessage="1" showErrorMessage="1" sqref="H67">
      <formula1>"0: No items completed,3: 1 item completed,5: 2 items completed,8: 3 items completed,10: 4 items completed"</formula1>
    </dataValidation>
    <dataValidation type="list" allowBlank="1" showInputMessage="1" showErrorMessage="1" sqref="H68">
      <formula1>"0: No items completed,3: 1 item completed,5: 2 items completed,8: 3 items completed,10: 4 items completed"</formula1>
    </dataValidation>
    <dataValidation type="list" allowBlank="1" showInputMessage="1" showErrorMessage="1" sqref="H69">
      <formula1>"0: No alerting in workflow tools,1: Alerting in at least one tool,3: Alerting in some tooling [&gt;20%],6: Alerting in most tooling [&gt;60%],10: Alerting in all workflow tools [100%]"</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2026-04-26T17:15:40Z</dcterms:created>
  <dcterms:modified xsi:type="dcterms:W3CDTF">2026-04-26T17:15:40Z</dcterms:modified>
</cp:coreProperties>
</file>