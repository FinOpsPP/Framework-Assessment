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Maturity - Domains" sheetId="2" r:id="rId2"/>
    <sheet name="Maturity - Capabilities" sheetId="3" r:id="rId3"/>
    <sheet name="Scoring" sheetId="4" r:id="rId4"/>
  </sheets>
  <calcPr calcId="124519" fullCalcOnLoad="1"/>
</workbook>
</file>

<file path=xl/sharedStrings.xml><?xml version="1.0" encoding="utf-8"?>
<sst xmlns="http://schemas.openxmlformats.org/spreadsheetml/2006/main" count="1273" uniqueCount="471">
  <si>
    <t>Sum of Weights</t>
  </si>
  <si>
    <t>Maximum Possible Score</t>
  </si>
  <si>
    <t>Calculated Weighted Average Score</t>
  </si>
  <si>
    <t>Difference from Maximum Score</t>
  </si>
  <si>
    <t>Domain</t>
  </si>
  <si>
    <t>Action Count</t>
  </si>
  <si>
    <t>Manage the FinOps Practice</t>
  </si>
  <si>
    <t>Optimize Usage &amp; Cost</t>
  </si>
  <si>
    <t>Quantify Business Value</t>
  </si>
  <si>
    <t>Understand Usage &amp; Cost</t>
  </si>
  <si>
    <t>Capability</t>
  </si>
  <si>
    <t>Allocation</t>
  </si>
  <si>
    <t>Anomaly Management</t>
  </si>
  <si>
    <t>Architecting &amp; Workload Placement</t>
  </si>
  <si>
    <t>Automation, Tools &amp; Services</t>
  </si>
  <si>
    <t>Budgeting</t>
  </si>
  <si>
    <t>Data Ingestion</t>
  </si>
  <si>
    <t>Executive Strategy Alignment</t>
  </si>
  <si>
    <t>FinOps Assessment</t>
  </si>
  <si>
    <t>FinOps Education &amp; Enablement</t>
  </si>
  <si>
    <t>FinOps Practice Operations</t>
  </si>
  <si>
    <t>Forecasting</t>
  </si>
  <si>
    <t>Governance, Policy &amp; Risk</t>
  </si>
  <si>
    <t>Intersecting Disciplines</t>
  </si>
  <si>
    <t>Invoicing &amp; Chargeback</t>
  </si>
  <si>
    <t>KPIs &amp; Benchmarking</t>
  </si>
  <si>
    <t>Licensing &amp; SaaS</t>
  </si>
  <si>
    <t>Planning &amp; Estimating</t>
  </si>
  <si>
    <t>Rate Optimization</t>
  </si>
  <si>
    <t>Reporting &amp; Analytics</t>
  </si>
  <si>
    <t>Sustainability</t>
  </si>
  <si>
    <t>Unit Economics</t>
  </si>
  <si>
    <t>Usage Optimization</t>
  </si>
  <si>
    <t>serial number</t>
  </si>
  <si>
    <t>version</t>
  </si>
  <si>
    <t>weights</t>
  </si>
  <si>
    <t>formula</t>
  </si>
  <si>
    <t>scoring</t>
  </si>
  <si>
    <t>weighted score</t>
  </si>
  <si>
    <t>_domain</t>
  </si>
  <si>
    <t>_capability</t>
  </si>
  <si>
    <t>domain</t>
  </si>
  <si>
    <t>capability</t>
  </si>
  <si>
    <t>action</t>
  </si>
  <si>
    <t>Define Technology Financial Policies</t>
  </si>
  <si>
    <t>Publish Guidelines &amp; Guardrails</t>
  </si>
  <si>
    <t>Educate Stakeholders on Policy</t>
  </si>
  <si>
    <t>Monitor Compliance &amp; Report Breaches</t>
  </si>
  <si>
    <t>Iterate Policies on Outcomes &amp; Risk</t>
  </si>
  <si>
    <t>Define Assessment Scope &amp; Goals</t>
  </si>
  <si>
    <t>Collect Standardized Assessment Inputs</t>
  </si>
  <si>
    <t>Establish Baselines &amp; Identify Trends</t>
  </si>
  <si>
    <t>Prioritize Actions &amp; Publish Roadmap</t>
  </si>
  <si>
    <t>Reassess Progress &amp; Update Priorities</t>
  </si>
  <si>
    <t>Assess Skills &amp; Training Needs</t>
  </si>
  <si>
    <t>Develop Role-Based Learning Content</t>
  </si>
  <si>
    <t>Offer Certifications &amp; Informal Learning</t>
  </si>
  <si>
    <t>Leverage Vendor Training Resources</t>
  </si>
  <si>
    <t>Track Training Impact &amp; Refresh Content</t>
  </si>
  <si>
    <t>Define Org Model &amp; Budget</t>
  </si>
  <si>
    <t>Create Implementation Roadmap</t>
  </si>
  <si>
    <t>Integrate Cost Data in Workflows</t>
  </si>
  <si>
    <t>Publish FinOps KPIs</t>
  </si>
  <si>
    <t>Drive Stakeholder Engagement</t>
  </si>
  <si>
    <t>Automate Tasks &amp; Review Maturity</t>
  </si>
  <si>
    <t>Assess Tooling Needs &amp; Criteria</t>
  </si>
  <si>
    <t>Evaluate Build vs Buy Options</t>
  </si>
  <si>
    <t>Implement &amp; Configure Tools</t>
  </si>
  <si>
    <t>Train Users &amp; Integrate Data</t>
  </si>
  <si>
    <t>Monitor Adoption &amp; Iterate Tools</t>
  </si>
  <si>
    <t>Establish Cross-Team Collab</t>
  </si>
  <si>
    <t>Align Goals &amp; Data Models</t>
  </si>
  <si>
    <t>Share Reporting &amp; Definitions</t>
  </si>
  <si>
    <t>Provide Technology Metrics to Teams</t>
  </si>
  <si>
    <t>Coordinate Policy Changes Broadly</t>
  </si>
  <si>
    <t>Drive Adoption &amp; Resolve Conflicts</t>
  </si>
  <si>
    <t>Map Invoices to Allocation Model</t>
  </si>
  <si>
    <t>Reconcile Rates &amp; Track Completion</t>
  </si>
  <si>
    <t>Design Chargeback with Finance</t>
  </si>
  <si>
    <t>Automate Chargeback Data Flows</t>
  </si>
  <si>
    <t>Distribute Reports &amp; Track Accuracy</t>
  </si>
  <si>
    <t>Resolve Variances &amp; Increase Coverage</t>
  </si>
  <si>
    <t>Establish Executive Sponsorship</t>
  </si>
  <si>
    <t>Define Decision Rights &amp; Guardrails</t>
  </si>
  <si>
    <t>Build Multi-Year Investment Forecast</t>
  </si>
  <si>
    <t>Establish Decision Support Cadence</t>
  </si>
  <si>
    <t>Establish Architecture Review Process</t>
  </si>
  <si>
    <t>Assess Workloads for Modernization</t>
  </si>
  <si>
    <t>Estimate Trade-Offs &amp; Document Cases</t>
  </si>
  <si>
    <t>Implement Iteratively &amp; Measure Results</t>
  </si>
  <si>
    <t>Publish Benefits &amp; Update References</t>
  </si>
  <si>
    <t>Strengthen Architecture Collaboration</t>
  </si>
  <si>
    <t>Create Workload Selection Criteria</t>
  </si>
  <si>
    <t>Define Success Criteria &amp; Scope</t>
  </si>
  <si>
    <t>Enforce Tagging at Onboarding</t>
  </si>
  <si>
    <t>Align Timelines with Budgets</t>
  </si>
  <si>
    <t>Start with Lower Environments</t>
  </si>
  <si>
    <t>Review Outcomes &amp; Adjust Patterns</t>
  </si>
  <si>
    <t>Aggregate Emissions Data</t>
  </si>
  <si>
    <t>Define Sustainability Metrics</t>
  </si>
  <si>
    <t>Carbon Impact Workload Decisions</t>
  </si>
  <si>
    <t>Carbon Aware Data Guidance</t>
  </si>
  <si>
    <t>Sustainability Data Continuous Improvement</t>
  </si>
  <si>
    <t>Tie Sustainability to Cost Efficiency</t>
  </si>
  <si>
    <t>Inventory Licenses &amp; Map Resources</t>
  </si>
  <si>
    <t>Document Licensing Models</t>
  </si>
  <si>
    <t>Integrate Billing with Procurement</t>
  </si>
  <si>
    <t>Validate Utilization &amp; Remediate</t>
  </si>
  <si>
    <t>Influence Workload Design Choices</t>
  </si>
  <si>
    <t>Publish License Spend &amp; Utilization</t>
  </si>
  <si>
    <t>Document Commitment Strategy</t>
  </si>
  <si>
    <t>Build Commitment Analysis Process</t>
  </si>
  <si>
    <t>Purchase Commitments Regularly</t>
  </si>
  <si>
    <t>Track ROI &amp; Notify Owners</t>
  </si>
  <si>
    <t>Allocate Upfront Costs Transparently</t>
  </si>
  <si>
    <t>Leverage Spot &amp; Negotiated Discounts</t>
  </si>
  <si>
    <t>Define Optimization Strategy</t>
  </si>
  <si>
    <t>Inventory &amp; Classify Workloads</t>
  </si>
  <si>
    <t>Collect Metrics &amp; Identify Candidates</t>
  </si>
  <si>
    <t>Partner on Scheduling Actions</t>
  </si>
  <si>
    <t>Gamify Adoption &amp; Celebrate Wins</t>
  </si>
  <si>
    <t>Track KPIs &amp; Document Playbooks</t>
  </si>
  <si>
    <t>Select KPIs &amp; Measurement Scope</t>
  </si>
  <si>
    <t>Validate Tagging for Comparability</t>
  </si>
  <si>
    <t>Choose Internal vs External Benchmarks</t>
  </si>
  <si>
    <t>Stand Up Internal Benchmarking</t>
  </si>
  <si>
    <t>Track Trends &amp; Compare Over Time</t>
  </si>
  <si>
    <t>Translate Gaps to Initiatives</t>
  </si>
  <si>
    <t>Define Budgeting Strategy</t>
  </si>
  <si>
    <t>Integrate Rolling Forecasts</t>
  </si>
  <si>
    <t>Increase Shared Cost Coverage</t>
  </si>
  <si>
    <t>Publish Budget vs Actual Reports</t>
  </si>
  <si>
    <t>Automate Budget Threshold Alerts</t>
  </si>
  <si>
    <t>Review &amp; Adapt Budget Strategy</t>
  </si>
  <si>
    <t>Establish Forecasting Approach</t>
  </si>
  <si>
    <t>Collect Business Drivers Regularly</t>
  </si>
  <si>
    <t>Run &amp; Refresh Rolling Forecasts</t>
  </si>
  <si>
    <t>Compare Forecast to Actual</t>
  </si>
  <si>
    <t>Automate Variance Alerts</t>
  </si>
  <si>
    <t>Feed Learnings into Budgeting &amp; Commitments</t>
  </si>
  <si>
    <t>Define Estimating Scope &amp; Policy</t>
  </si>
  <si>
    <t>Agree on Pricing Assumptions</t>
  </si>
  <si>
    <t>Select Estimation Methods</t>
  </si>
  <si>
    <t>Include Sustainability Impacts</t>
  </si>
  <si>
    <t>Establish Scenario Decision Process</t>
  </si>
  <si>
    <t>Report Estimate Accuracy</t>
  </si>
  <si>
    <t>Coach Engineering on Estimates</t>
  </si>
  <si>
    <t>Define Business-Relevant Units</t>
  </si>
  <si>
    <t>Document Inputs &amp; Formulas</t>
  </si>
  <si>
    <t>Build Unit Cost Dashboards</t>
  </si>
  <si>
    <t>Set Review Cadence &amp; Targets</t>
  </si>
  <si>
    <t>Use Metrics to Prioritize Investments</t>
  </si>
  <si>
    <t>Communicate Unit Cost Wins</t>
  </si>
  <si>
    <t>Define Metadata &amp; Hierarchy Strategy</t>
  </si>
  <si>
    <t>Identify Shared Costs &amp; Rules</t>
  </si>
  <si>
    <t>Publish Allocation Taxonomy</t>
  </si>
  <si>
    <t>Implement Tagging Standards</t>
  </si>
  <si>
    <t>Validate Compliance &amp; Report Gaps</t>
  </si>
  <si>
    <t>Automate Tagging &amp; Enforcement</t>
  </si>
  <si>
    <t>Iterate Strategies &amp; Communicate</t>
  </si>
  <si>
    <t>Configure Cost Spike Detection</t>
  </si>
  <si>
    <t>Define Severity &amp; Response SLAs</t>
  </si>
  <si>
    <t>Automate Alert Routing</t>
  </si>
  <si>
    <t>Record Anomaly Context &amp; Timeline</t>
  </si>
  <si>
    <t>Analyze Root Causes &amp; Fix Issues</t>
  </si>
  <si>
    <t>Track Metrics &amp; Avoidance Rates</t>
  </si>
  <si>
    <t>Tune Thresholds to Reduce Noise</t>
  </si>
  <si>
    <t>Inventory All Data Sources</t>
  </si>
  <si>
    <t>Choose Data Landing Tooling</t>
  </si>
  <si>
    <t>Create Landing Zones &amp; Controls</t>
  </si>
  <si>
    <t>Define Data Granularity &amp; Frequency</t>
  </si>
  <si>
    <t>Define Data Ingestion Requirements</t>
  </si>
  <si>
    <t>Document Normalization Rules</t>
  </si>
  <si>
    <t>Implement Data Quality Checks</t>
  </si>
  <si>
    <t>Build Ingestion Anomaly Dashboards</t>
  </si>
  <si>
    <t>Optimize Pipelines for Timeliness</t>
  </si>
  <si>
    <t>Gather Requirements &amp; Define KPIs</t>
  </si>
  <si>
    <t>Enrich Billing with Business Logic</t>
  </si>
  <si>
    <t>Build Dashboards for All Views</t>
  </si>
  <si>
    <t>Publish Documentation &amp; Support</t>
  </si>
  <si>
    <t>Embed Reports in Workflows</t>
  </si>
  <si>
    <t>Track Adoption &amp; Manage Changes</t>
  </si>
  <si>
    <t>Iterate Based on Feedback</t>
  </si>
  <si>
    <t>102</t>
  </si>
  <si>
    <t>103</t>
  </si>
  <si>
    <t>104</t>
  </si>
  <si>
    <t>105</t>
  </si>
  <si>
    <t>106</t>
  </si>
  <si>
    <t>113</t>
  </si>
  <si>
    <t>114</t>
  </si>
  <si>
    <t>115</t>
  </si>
  <si>
    <t>116</t>
  </si>
  <si>
    <t>117</t>
  </si>
  <si>
    <t>097</t>
  </si>
  <si>
    <t>098</t>
  </si>
  <si>
    <t>099</t>
  </si>
  <si>
    <t>100</t>
  </si>
  <si>
    <t>101</t>
  </si>
  <si>
    <t>091</t>
  </si>
  <si>
    <t>092</t>
  </si>
  <si>
    <t>093</t>
  </si>
  <si>
    <t>094</t>
  </si>
  <si>
    <t>095</t>
  </si>
  <si>
    <t>096</t>
  </si>
  <si>
    <t>124</t>
  </si>
  <si>
    <t>125</t>
  </si>
  <si>
    <t>126</t>
  </si>
  <si>
    <t>127</t>
  </si>
  <si>
    <t>128</t>
  </si>
  <si>
    <t>129</t>
  </si>
  <si>
    <t>130</t>
  </si>
  <si>
    <t>131</t>
  </si>
  <si>
    <t>132</t>
  </si>
  <si>
    <t>133</t>
  </si>
  <si>
    <t>134</t>
  </si>
  <si>
    <t>107</t>
  </si>
  <si>
    <t>108</t>
  </si>
  <si>
    <t>109</t>
  </si>
  <si>
    <t>110</t>
  </si>
  <si>
    <t>111</t>
  </si>
  <si>
    <t>112</t>
  </si>
  <si>
    <t>136</t>
  </si>
  <si>
    <t>137</t>
  </si>
  <si>
    <t>138</t>
  </si>
  <si>
    <t>139</t>
  </si>
  <si>
    <t>061</t>
  </si>
  <si>
    <t>062</t>
  </si>
  <si>
    <t>063</t>
  </si>
  <si>
    <t>064</t>
  </si>
  <si>
    <t>065</t>
  </si>
  <si>
    <t>066</t>
  </si>
  <si>
    <t>118</t>
  </si>
  <si>
    <t>119</t>
  </si>
  <si>
    <t>120</t>
  </si>
  <si>
    <t>121</t>
  </si>
  <si>
    <t>122</t>
  </si>
  <si>
    <t>123</t>
  </si>
  <si>
    <t>085</t>
  </si>
  <si>
    <t>086</t>
  </si>
  <si>
    <t>087</t>
  </si>
  <si>
    <t>088</t>
  </si>
  <si>
    <t>089</t>
  </si>
  <si>
    <t>090</t>
  </si>
  <si>
    <t>073</t>
  </si>
  <si>
    <t>074</t>
  </si>
  <si>
    <t>075</t>
  </si>
  <si>
    <t>076</t>
  </si>
  <si>
    <t>077</t>
  </si>
  <si>
    <t>078</t>
  </si>
  <si>
    <t>079</t>
  </si>
  <si>
    <t>080</t>
  </si>
  <si>
    <t>081</t>
  </si>
  <si>
    <t>082</t>
  </si>
  <si>
    <t>083</t>
  </si>
  <si>
    <t>084</t>
  </si>
  <si>
    <t>067</t>
  </si>
  <si>
    <t>068</t>
  </si>
  <si>
    <t>069</t>
  </si>
  <si>
    <t>070</t>
  </si>
  <si>
    <t>071</t>
  </si>
  <si>
    <t>072</t>
  </si>
  <si>
    <t>049</t>
  </si>
  <si>
    <t>050</t>
  </si>
  <si>
    <t>051</t>
  </si>
  <si>
    <t>052</t>
  </si>
  <si>
    <t>053</t>
  </si>
  <si>
    <t>054</t>
  </si>
  <si>
    <t>043</t>
  </si>
  <si>
    <t>044</t>
  </si>
  <si>
    <t>045</t>
  </si>
  <si>
    <t>046</t>
  </si>
  <si>
    <t>047</t>
  </si>
  <si>
    <t>048</t>
  </si>
  <si>
    <t>037</t>
  </si>
  <si>
    <t>038</t>
  </si>
  <si>
    <t>039</t>
  </si>
  <si>
    <t>040</t>
  </si>
  <si>
    <t>041</t>
  </si>
  <si>
    <t>042</t>
  </si>
  <si>
    <t>030</t>
  </si>
  <si>
    <t>031</t>
  </si>
  <si>
    <t>032</t>
  </si>
  <si>
    <t>033</t>
  </si>
  <si>
    <t>034</t>
  </si>
  <si>
    <t>035</t>
  </si>
  <si>
    <t>036</t>
  </si>
  <si>
    <t>055</t>
  </si>
  <si>
    <t>056</t>
  </si>
  <si>
    <t>057</t>
  </si>
  <si>
    <t>058</t>
  </si>
  <si>
    <t>059</t>
  </si>
  <si>
    <t>060</t>
  </si>
  <si>
    <t>009</t>
  </si>
  <si>
    <t>010</t>
  </si>
  <si>
    <t>011</t>
  </si>
  <si>
    <t>012</t>
  </si>
  <si>
    <t>013</t>
  </si>
  <si>
    <t>014</t>
  </si>
  <si>
    <t>015</t>
  </si>
  <si>
    <t>023</t>
  </si>
  <si>
    <t>024</t>
  </si>
  <si>
    <t>025</t>
  </si>
  <si>
    <t>026</t>
  </si>
  <si>
    <t>027</t>
  </si>
  <si>
    <t>028</t>
  </si>
  <si>
    <t>029</t>
  </si>
  <si>
    <t>001</t>
  </si>
  <si>
    <t>002</t>
  </si>
  <si>
    <t>003</t>
  </si>
  <si>
    <t>004</t>
  </si>
  <si>
    <t>135</t>
  </si>
  <si>
    <t>005</t>
  </si>
  <si>
    <t>006</t>
  </si>
  <si>
    <t>007</t>
  </si>
  <si>
    <t>008</t>
  </si>
  <si>
    <t>016</t>
  </si>
  <si>
    <t>017</t>
  </si>
  <si>
    <t>018</t>
  </si>
  <si>
    <t>019</t>
  </si>
  <si>
    <t>020</t>
  </si>
  <si>
    <t>021</t>
  </si>
  <si>
    <t>022</t>
  </si>
  <si>
    <t>2.0.0</t>
  </si>
  <si>
    <t>1.1.0</t>
  </si>
  <si>
    <t>1.0.0</t>
  </si>
  <si>
    <t>2.1.0</t>
  </si>
  <si>
    <t>1.8.0</t>
  </si>
  <si>
    <t>1.9.0</t>
  </si>
  <si>
    <t>1.6.1</t>
  </si>
  <si>
    <t>Measured over: every policy in force during the review period. A policy set is small enough to
enumerate, so items are assessed against each policy rather than as a coverage rate.
* Policy register (policies in force are listed in one place, each with a named owner and an effective
  date)
* Risk named (each policy records the financial risk it exists to reduce)
* Scope stated (each policy records which FinOps Scopes and technology categories it applies to)
* Approval recorded (each policy records who approved it and at what level of authority)
* Next review dated (each policy carries the date by which it is reviewed again)
10*Ceil(x/5)</t>
  </si>
  <si>
    <t>* Weighted sum
  Guardrail coverage (score x4),
  Enforcement mode (score x3),
  Guideline publication (score x2),
  Exception path (score x1).
  Max raw (50)
* Share of routine technology decisions that pass through an automated guardrail
  (0=Not measured, 1&lt;20%, 2=20-39%, 3=40-59%, 4=60-79%, 5=80% or higher)
* How a guardrail responds when a decision breaches policy
  (0=No guardrails, 1=Reported after the fact, 2=Warns the requester, 3=Warns and notifies the owner,
  4=Blocks the breach with an override path, 5=Blocks and remediates the drift automatically)
* Where guidelines are published and who can reach them
  (0=Unpublished, 1=Shared on request, 2=Published to the FinOps team,
  3=Published to the personas each guideline binds, 4=Reachable from the tools where decisions are
  made, 5=Versioned, with changes announced to the personas they bind)
* How an exception is requested and bounded
  (0=No exception path, 1=Granted informally, 2=Requested and recorded, 3=Approved by a named role,
  4=Carries an expiry date, 5=Reviewed at expiry and either renewed with rationale or withdrawn)
* Output Range (0-50)</t>
  </si>
  <si>
    <t>Measured over: every policy in force during the review period, and the personas each one binds.
* Expectations delivered (each policy has been communicated to the personas it binds, not only to the
  FinOps team)
* Exception path communicated (the personas a policy binds know how to request an exception, who
  decides, and how long one lasts)
* Risk acceptance recorded (where a policy is waived or a breach is tolerated, the leader accepting
  that risk is named in the record)
* Handover covered (a new owner receives the policies that bind their scope when they take ownership)
10*Ceil(x/4)</t>
  </si>
  <si>
    <t>Scored at the highest stage the practice reaches for policy breaches. The stages replace one
another: a practice remediating automatically is not also waiting to be told.
Measured over: the policies in force during the review period and the resources they bind.</t>
  </si>
  <si>
    <t>Measured over: every policy in force during the review period, and every change made to one.
* Review cadence published (the policy set is reviewed on a stated cadence with a named owner)
* Outcome data feeds the review (adherence rate, breach counts, and guardrail false positives are
  inputs to it rather than reported separately)
* Feedback path open (the personas a policy binds can raise an issue through a stated route, and
  those issues reach the review)
* Change recorded (each policy change records its rationale and effective date)
* Retirement path exists (a policy can be withdrawn through a stated route, and each review records
  which policies were kept, amended, or withdrawn)
10*Ceil(x/5)</t>
  </si>
  <si>
    <t>* Select which teams or groups are in scope for the planned assessments
* Select which capabilities/actions are in scope for each group's assessment
* Select weights for each included action based on goals of the assessment and importance to the business
* Set a preliminary target score for each included action to use for comparison
10*Ceil(x/4)</t>
  </si>
  <si>
    <t>* Use objective (not subjective) scoring metrics for assessment evaluation
* Document how metrics used in the assessment are calculated and state all assumptions
* Use the same calculation assumptions and formulas across scopes if possible
* List relevant documentation of process and policy as evidentiary support for each score
10*Ceil(x/4)</t>
  </si>
  <si>
    <t>* Complete an initial assessment for different scopes of the business to establish a baseline
* Plot scores over time to track maturity progress for priority scopes
* Complete analysis on what contributed to or hindered progress across scopes or different areas of the assessment
10*Ceil(x/3)</t>
  </si>
  <si>
    <t>1. Invite subject matter experts (SMEs) and leadership to determine which gaps to address first
2. Determine owners for addressing each of the prioritized gaps
3. Owners will work with relevant teams to scope out how to meet the target score for each gap
4. Work is then scheduled in a roadmap with deadlines that can be tracked at the leadership level</t>
  </si>
  <si>
    <t>* Schedule a cadence to report progress outcomes to key stakeholders.
* Create reporting to show progress on key outcomes across all maturity initiatives.
* After successful outcomes are achieved, move on to the next prioritized item in the roadmap.
* Periodically reevaluate the gap analysis and priority list based on lessons learned and new business goals.</t>
  </si>
  <si>
    <t>Measured over: the personas the practice depends on during the review period.
* Personas listed (the personas the practice depends on are named, not assumed)
* Need recorded per persona (what each one has to understand to play its part is written down)
* Current level recorded (what each persona knows today is assessed against that need)
* Gaps ranked (the gaps are ordered, so the next content produced has a stated reason)
* Reassessed on a stated cadence (the assessment is repeated on a schedule with a named owner)
10*Ceil(x/5)</t>
  </si>
  <si>
    <t>Measured over: the personas the practice depends on during the review period.
* Material exists per persona (each persona has content aimed at it rather than one general deck)
* More than one level (content exists beyond an introduction, so somebody can go further)
* Organization specific content included (material covers how FinOps works here, not only generic
  concepts)
* Onboarding carries it (new employees and contractors receive the material relevant to their
  persona when they join)
* Owner named (each curriculum records who maintains it)
10*Ceil(x/5)</t>
  </si>
  <si>
    <t>Measured over: the learning opportunities offered during the review period.
* Certification route exists (a funded path to FinOps certification is offered, and who is eligible
  is written down)
* Informal sessions run on a stated cadence (office hours, lunch and learns or equivalent, on a
  schedule rather than when somebody volunteers)
* Opportunities counted (the number offered in the period is recorded)
* Open beyond the practice (allied personas can attend, not only the FinOps team)
10*Ceil(x/4)</t>
  </si>
  <si>
    <t>Measured over: the vendor and provider training the practice points people to during the review
period.
* Catalogued per persona (the vendor training relevant to each persona is listed, with its cost and
  the effort it takes)
* Access arranged (people can reach the training without seeking approval each time, and who pays
  is recorded)
* Contextualized (each listed course carries a note on what applies here, including which services
  the organization actually runs and which parts to skip)
* Catalogue rechecked (the list is reviewed on a stated cadence, because vendors retire and replace
  courses without telling anyone)
10*Ceil(x/4)</t>
  </si>
  <si>
    <t>Measured over: the personas the practice depends on, and the learning material published to them.
* Completion measured (the share of each persona that finished the material intended for it)
* Consultation measured (how often teams return to the material after the session that introduced
  it)
* Effect on a named measure reported (training is reported against a KPI it was meant to move, such
  as tagging compliance or forecast accuracy)
* Refresh path exists (material is reviewed on a stated cadence, and each review records what was
  updated, retired, or kept)
10*Ceil(x/4)</t>
  </si>
  <si>
    <t>* Operating model recorded (which shape the team takes, whether a single central team, a fully virtual
  team, or a hub and spoke with members embedded in Engineering, and where it reports)
* Staffing plan recorded (the roles the practice needs, requested against filled, and which support is
  virtual rather than hired)
* Skills mapped (leadership, communication, analytical, and technical skills mapped to the roles, with
  the gaps named)
* Funding source named (the team has a standing budget line rather than a one-off allocation)
* Decision model documented (how a cross-functional or urgent decision gets made, and who makes it)
10*Ceil(x/5)</t>
  </si>
  <si>
    <t>Measured over: the roadmap in force during the review period, and the items on its backlog.
* Roadmap published (a roadmap for building the practice exists where the personas it affects can
  read it)
* Items carry an owner and a date (each backlog item names who is accountable and when it is due)
* Prioritization stated (the rule used to order the backlog is written down, so two people ordering
  it reach the same result)
* Dependencies recorded (items blocked by another capability, a tool, or a hire say so)
* Progress reviewed (completed and slipped items are reviewed on a stated cadence with a named owner)
10*Ceil(x/5)</t>
  </si>
  <si>
    <t>Measured over: the forecasting, budgeting, and procurement workflows the organization runs.
* Forecasting consumes cost data (the forecast is built from the same cost data the practice
  publishes, not a separate extract)
* Budgeting consumes cost data (budget setting and tracking draw on it)
* Procurement consumes cost data (renewal and purchase decisions see current and committed spend)
* Delivered where the work happens (the data reaches each workflow in the tool its owners already
  use rather than a FinOps report they must seek out)
* Freshness stated (each workflow records how current the data it receives is)
10*Ceil(x/5)</t>
  </si>
  <si>
    <t>Measured over: the KPI set the practice publishes during the review period.
* Published on a cadence (the KPI set is issued on a stated schedule rather than on request)
* Reaches beyond the practice (the personas each KPI concerns receive it, not only the FinOps team)
* Value of the practice included (at least one KPI reports the savings or cost avoidance the
  practice generated)
* Definitions travel with the numbers (each KPI states what it measures and over what period)
* Movement explained (a change in a KPI is published with the reason, not only the new figure)
10*Ceil(x/5)</t>
  </si>
  <si>
    <t>Measured over: the personas the practice works with during the review period.
* Named contacts (each persona the practice depends on has a named counterpart on both sides)
* Regular contact (engagement happens on a stated cadence rather than when something breaks)
* Wins published (savings and avoided cost are reported with the team that earned them named)
* Misses published (targets that were missed are reported in the same place as the wins)
* Requests tracked (a request to the practice carries an owner and a response, so a persona can see
  what happened to it)
10*Ceil(x/5)</t>
  </si>
  <si>
    <t>Measured over: the tasks the practice performs more than once during the review period.
* Repeated tasks inventoried (the tasks the practice repeats are listed, with how often each runs)
* Effort recorded (each repeated task carries an estimate of the time it consumes)
* Automation candidates ranked (tasks are ordered by effort saved against cost to automate)
* Effect measured (time or cycle time before and after an automation is recorded)
10*Ceil(x/4)</t>
  </si>
  <si>
    <t>* Weighted sum
  Criteria document (score x3),
  KPI alignment (score x3),
  Stakeholder count capped at 5 (score x2),
  Refresh cadence (score x2).
  Max Raw Score (31)
* Criteria formally documented (0=None, 1=Draft, 2=Approved, 3=Versioned+Reviewed)
* Criteria explicitly mapped to FinOps KPIs (0=None, 1=Partial, 2=Full)
* of FinOps personas involved in criteria definition (0-5)
* Criteria review frequency (0=Never, 1=Ad-hoc, 2=Annual, 3=Quarterly+)
* Output Range (0 - Max Raw)</t>
  </si>
  <si>
    <t xml:space="preserve">* Weighted sum
  TCO (score x3),
  Vendor scoring (score x3),
  Decision document (score x3),
  Rules established (score x1).
  Max Raw Score (29)
* TCO_Analysis - Total Cost of Ownership analysis performed
  (0=None, 1=High-level, 2=Detailed, 3=Validated with Finance)
* Vendor_Scored - Vendor options scored against criteria
  (0=None, 1=Informal, 2=Structured scorecard, 3=Multi-stakeholder RFP)
* Decision_Doc - Build vs Buy decision formally documented and approved
  (0=No, 1=Informal note, 2=Formal doc, 3=Exec-approved+reviewed)
* Rules_Est - Guiding rules / policy established for future decsions
  (0=No rules, 1=Draft, 2=Published+Enforced)
* Output Range (0 - Max Raw)
</t>
  </si>
  <si>
    <t>* Weighted sum
  Env coverage (score x4),
  Data Integration (score x4),
  Tag Config (score x2),
  Config Doc (score x2).
  Max raw (52)
* Env_Coverage - % of cloud environments covered by deployed tools
  (0=0%, 1&lt;50%, 2=50-79%, 3=80-94%, 4=95-99%, 5=100%)
* Data_Integration - Data sources integrated (billing, usage, tags, business context)
  (0=None, 1=Billing Only, 2=+Usage, 3=+Tags, 4=+Business context, 5=All+Automated)
* Tag_Config - Tag/allocation rules configured and enforced tool
  (0=No, 1=Partial manual, 2=Full manual, 3=Automated enforcement)
* Config_Doc - Tool configuration documented and version-controlled
  (0=No rules, 1=Informal, 2=Documented, 3=Version-controlled+Reviewed)
* Output Range (0-52)</t>
  </si>
  <si>
    <t>* Define communication pathways between FinOps and the business
* Conduct trainings or create videos
* Send out period newsletters
* CI/CD governance
* Proactive recommendations at deployment
10*Ceil(x/5)</t>
  </si>
  <si>
    <t>1. Identify key stakeholder teams and key contacts for each (ITAM, SRE, etc.)
2. Document initial thoughts on how this other team may help FinOps goals
3. Document initial thoughts on how the FinOps team may help the other team's goals
4. Reach out to the other team with the initial summary of goals
5. Meet with the other team to better understand how they work</t>
  </si>
  <si>
    <t>* Align on new shared goals that will enhance both teams achievements
* Determine what data is shared across teams to establish a single source of truth
* Identify and agree on tasks that will lead to accomplishing shared goals
* Determine which teams have capacity to work on goal tasks periodically
* Incorporate tasks into team capacity planning and dependency workflows
10*Ceil(x/5)</t>
  </si>
  <si>
    <t>* Agree on definitions of shared concepts across teams to reduce confusion
* Adjust reporting so shared metrics are consistent and from the same source, even if multiple dashboards exist
* Regularly align on interpretation of shared metrics to plan next steps and report those to leadership
10*Ceil(x/3)</t>
  </si>
  <si>
    <t>* Share relevant data already maintained and tracked by FinOps
* Share metric reporting and the calculations behind FinOps created metrics
* Create new metrics from FinOps and other data based on needs of allied teams
10*Ceil(x/3)</t>
  </si>
  <si>
    <t>1. Document new policies as a result of cross-functional collaboration goals
2. Broad policy changes are accepted by governing and stakeholder teams
3. Communication is distributed by all governing teams using shared language
4. Change management procedures are followed for updated policy implementation
10*Ceil(x/4)</t>
  </si>
  <si>
    <t>* Come up with shared responses as allied teams to external conflicts
* Resolve internal conflicts before deciding on the next steps needed to reach shared goals
* Communication to external teams or leaders includes the full story of how allied teams achieve goals together
10*Ceil(x/3)</t>
  </si>
  <si>
    <t>Measured over: every provider invoice received during the review period. Invoices arrive on a monthly
cycle and are few enough to enumerate, so items are assessed against each one.
* Intake defined (which provider invoices arrive, on what cycle, and who receives them)
* Allocation mapping in place (invoice lines resolve to a cost center through the allocation model)
* Ledger codes mapped (each cost type carries the general ledger code Finance posts it to)
* Format and timing agreed (the output matches what accounting needs and arrives before close)
* Unmapped lines reported (invoice lines that resolve to no cost center are reported in currency)
10*Ceil(x/5)</t>
  </si>
  <si>
    <t>Measured over: every provider invoice received during the review period.
* Reconciliation cadence published (invoices are reconciled on a stated cadence with a named owner)
* Scope stated (reconciliation covers rates, discounts, and credits rather than the total alone)
* Completion measured against an SLA (the time from invoice receipt to reconciliation complete is
  measured against a stated target)
* Discrepancies recorded (each discrepancy carries its amount, its cause, and how it was resolved)
* Finance reconciles independently (Finance completes a reconciliation without the central FinOps team
  doing it for them)
10*Ceil(x/5)</t>
  </si>
  <si>
    <t>* Finance approval recorded (Finance is named in the chargeback rules and has signed off on them)
* Allocation rules documented (which cost types reach which cost centers, including shared costs and
  commitment discounts)
* Showback and chargeback scope stated (which scopes are shown for information and which post to
  official accounting budgets)
* Cadence documented (when the run happens relative to financial close, and when cost centers receive
  their figures)
* Correction path documented (how a posted charge is corrected after close, including true-up entries)
10*Ceil(x/5)</t>
  </si>
  <si>
    <t>Scored at the highest stage the chargeback run reaches. A practice does not need the stages below it,
because a run integrated into finance tooling has already replaced the spreadsheet it grew out of.</t>
  </si>
  <si>
    <t>Measured over: every chargeback report issued during the review period, and every dispute raised
against one.
* Recipients named (each cost center has a named recipient for its report)
* Distribution tied to close (reports reach recipients on a stated schedule relative to financial
  close)
* Cycle time measured (the time from close to report delivered is measured against a stated target)
* Accuracy published with the report (recipients see the accuracy figure alongside their charges
  rather than it being held internally)
* Dispute outcomes recorded (each dispute records what was challenged, how it resolved, and whether
  the charge changed)
10*Ceil(x/5)</t>
  </si>
  <si>
    <t>* Weighted sum
  Chargeback accuracy (score x4),
  Shared cost coverage (score x3),
  Variance resolution (score x2),
  Coverage reviewed (score x1).
  Max raw (50)
* Variance between what was charged and what was actually consumed, as a share of the amount charged
  (0=Not measured, 1&gt;20%, 2=10-20%, 3=5-9%, 4=2-4%, 5 under 2%)
* Share of shared cost allocated to the cost centers consuming it rather than held centrally
  (0=Not measured, 1=None allocated, 2 under 25%, 3=25-49%, 4=50-79%, 5=80% or higher)
* What happens to a variance once it is found
  (0=Absorbed centrally without record, 1=Recorded, 2=Owner named,
  3=Corrected by a true-up entry in the next close, 4=Root cause recorded against the correction,
  5=Root cause feeds a change to the allocation rules)
* How coverage is reviewed
  (0=Not reviewed, 1=Discussed informally, 2=Reported for the period,
  3=Reviewed with Finance on a stated cadence, 4=Candidate shared costs are listed with a reason for
  each exclusion, 5=The exclusion list is worked down against a plan)
* Output Range (0-50)</t>
  </si>
  <si>
    <t>* Document decision rights and approval authority for technology spend
* Define and publish spend guardrails with named owners
* Establish escalation path for spend exceptions
10*Ceil(x/3)</t>
  </si>
  <si>
    <t>* Inventory vendor commitments across technology categories (cloud, SaaS, data center, AI)
* Create a multi-year forecast incorporating renewal timelines and growth projections
* Incorporate transition and modernization costs into the investment plan
10*Ceil(x/3)</t>
  </si>
  <si>
    <t>* Define a regular review cadence for technology investment decisions
* Deliver cost and outcome comparisons for competing initiatives at reviews
* Track and report action follow-through from investment decisions
10*Ceil(x/3)</t>
  </si>
  <si>
    <t>Measured over: the review process itself for items 1 to 3, and every review conducted during the
period for items 4 and 5. Reviews are few enough to enumerate, so those two are assessed against each
review rather than as a coverage rate.
* Intake trigger defined (which designs enter review: new builds, material changes, and spend above a
  stated threshold)
* Triage signals stated (candidates are prioritized using spend, usage, value, and adoption signals
  rather than order of arrival)
* Trade-off model documented (the review weighs cost, value, sovereignty, resilience, and
  sustainability)
* Approver named (the role that approves a placement decision and accepts its trade-offs is recorded
  for each review)
* Model updated from outcomes (the review records whether what was built matched what was approved,
  and the trade-off model changes when it did not)
10*Ceil(x/5)</t>
  </si>
  <si>
    <t>* Define process to address notifications from CSPs
* Define cadence for review
* Define exception criteria
* Define thresholds to change
* Combine with architecture analysis for SP &amp; RIs
10*Ceil(x/5)</t>
  </si>
  <si>
    <t>* Implement architecture changes in time boxed iterations rather than big migrations
* Track actual cost outcomes vs estimated savings documented in prior trade off analysis
* Define and monitor success metrics (cost delta, performance, reliability) for each iteration
* Hold structured retrospectives after each iteration to capture lessons learned
* Feed iteration outcomes back into the modernization backlog to reprioritize remaining work
10*Ceil(x/5)</t>
  </si>
  <si>
    <t>* Document and publish cost savings and performance outcomes achieved through architecture changes
* Update internal architecture reference guides and design patterns with validated approaches
* Share case studies and reusable blueprints with engineering teams to accelerate adoption
* Establish a regular cadence to refresh published benefits data and retire outdated references
10*Ceil(x/4)</t>
  </si>
  <si>
    <t>* Process defined for new accounts and resources deployed
* Train teams on process
* Automate process
10*Ceil(x/3)</t>
  </si>
  <si>
    <t>x = Resources and SaaS products requiring a license that are mapped to the specific entitlement
covering them
y = All resources and SaaS products identified as requiring a license
x / y</t>
  </si>
  <si>
    <t>Measured over: every license and SaaS agreement held during the review period.
* Model recorded (each agreement records whether it is an organizational agreement, perpetual,
  as-a-service, or a marketplace purchase)
* Change terms recorded (whether licenses can be added mid-contract, and when they can be reduced)
* Metered charges recorded (charges beyond the license itself, such as access counts, API calls, or
  stored data)
* Bring your own license eligibility tagged (resources running software under an existing license
  carry a tag identifying them)
* Allocation target named (each agreement records the cost center its cost reaches)
10*Ceil(x/5)</t>
  </si>
  <si>
    <t>Measured over: the license and SaaS billing and entitlement feeds in use during the review period.
* Retrieved without a person (billing arrives on a schedule rather than being downloaded by hand)
* Normalized schema (billing arrives in a common format such as FOCUS rather than per vendor
  exports)
* Entitlements joined (purchased quantities sit alongside the spend, so utilization can be computed)
* Shared with asset management (contracts, usage and spend are available to the IT and software
  asset management functions rather than held inside FinOps)
* Named counterparts (Procurement, Finance and asset management each have a named contact)
10*Ceil(x/5)</t>
  </si>
  <si>
    <t>Measured over: every license and SaaS entitlement held during the review period.
* Compliance checked (resources requiring a license are checked against the entitlements held, and
  the shortfall or surplus is recorded)
* Idle assignment identified (assigned licenses with no activity are identified against a stated
  inactivity window)
* Reclamation threshold stated (the usage level at which a license is reclaimed or reassigned is
  written down)
* Reclamation path exists (a license below the threshold can be reclaimed or reassigned through a
  stated route, and each review records what was reclaimed, reassigned, or kept)
* Triggers fire without a person (reclamation starts from the usage data rather than from somebody
  remembering to look)
10*Ceil(x/5)</t>
  </si>
  <si>
    <t>Measured over: every workload design reviewed during the period that consumes licensed software.
* License position supplied (the review receives what the organization already owns and what it
  would need)
* Options compared (the same workload is costed under infrastructure with an existing license,
  a managed platform service, and a SaaS product)
* Compliance checked (the design states whether the license terms permit the deployment)
* Decision recorded (the option chosen and the licensing reason behind it are written into the
  design record)
10*Ceil(x/4)</t>
  </si>
  <si>
    <t>Measured over: the license and SaaS reporting issued during the review period.
* Published on a stated cadence (the report is issued on a schedule rather than on request)
* Spend included (license and SaaS spend for the period, split by agreement)
* Utilization included (assigned licenses divided by purchased licenses, as a rate)
* Reaches the holders (the teams holding the licenses receive it, not only Procurement and Finance)
* Renewal horizon shown (agreements approaching renewal are listed with their dates)
10*Ceil(x/5)</t>
  </si>
  <si>
    <t>* Weighted sum
  Effective savings rate (score x4),
  Commitment coverage (score x3),
  Purchase cadence (score x2),
  Purchase criteria (score x1).
  Max raw (50)
* Effective savings rate achieved on the portfolio, net of unused commitment, scored as a share of
  the rate the portfolio's own commitment terms make available
  (expected rate = 25% + 7.5% x (weighted-average commitment term in years - 1), so one-year terms
  expect 25%, two-year 32.5%, and three-year 40%)
  (0=Not measured, 1&lt;50%, 2=50-69%, 3=70-84%, 4=85-99%, 5=100% or higher)
* Share of eligible usage covered by a commitment over the review period
  (0=Not measured, 1&lt;25%, 2=25-49%, 3=50-69%, 4=70-84%, 5=85% or higher)
* How often commitments are purchased rather than left to renew in bulk
  (0=None purchased, 1=One-off, 2=Annual, 3=Quarterly, 4=Monthly or more often,
  5=Purchases triggered automatically by coverage and utilization reporting)
* Which numeric tests a purchase must pass before approval
  (0=None, 1=A savings target stated informally, 2=Savings per dollar of commitment recorded,
  3=Break-even window also recorded, 4=Expected usage life recorded and the term justified against it,
  5=All three applied to each decision and the portfolio rebalanced against realized usage)
* Output Range (0-50)</t>
  </si>
  <si>
    <t>Measured over: every commitment held during the review period, and every commitment expiring in it.
A portfolio is small enough to enumerate, so items are assessed against each commitment rather than as
a coverage rate.
* Return reported (the return on each commitment is reported in currency or as an effective savings
  rate)
* Coverage reported (the share of eligible usage covered by commitments is reported for the period)
* Decline alerting (an alert fires to a named recipient when utilization falls below the level
  recorded in the commitment strategy)
* Expiration register (every commitment carries an expiry date and a named owner)
* Advance notice (owners of expiring commitments are notified at least one full purchase cycle before
  expiry)
10*Ceil(x/5)</t>
  </si>
  <si>
    <t>Measured over: every commitment held during the review period. These are few enough to enumerate, so
items are assessed against each commitment rather than as a coverage rate.
* Amortized view published (commitment cost is reported spread across the commitment term rather than
  landing in the month it is invoiced)
* Allocation rule documented (how the upfront amount and the remaining term charges reach the teams
  whose usage the commitment covers, including the treatment of unused commitment)
* Benefit visible to the team (a team can see the discounted rate it received, not only an aggregate
  saving for the organization)
* Unallocated commitment cost reported (the amount no team receives is reported in currency for the
  period)
10*Ceil(x/4)</t>
  </si>
  <si>
    <t>* Process for evaluating spot periodically
* Tag for date last reviewed
* New deployments get reviewed beforehand
* Define requirements for spot
* Have exception process and expiration date
10*Ceil(x/5)</t>
  </si>
  <si>
    <t>* Purpose recorded (the decisions the forecast exists to support, and the stakeholders who agreed them)
* Technique recorded (static, trend-based, or driver-based, stated for each organizational level the
  forecast is produced at)
* Cadence requirement recorded (when a forecast is due, and how often it is expected to be updated)
* Horizon recorded (how far forward the forecast reaches, how much history feeds it, and at what
  granularity)
10*Ceil(x/4)</t>
  </si>
  <si>
    <t>* Collect data based on existing patterns observed in spend
* Conduct proactive investigations and interviews with teams
* Gather existing self reporting by the business and/or teams
* Factor in expected increases to the forecast model
10*Ceil(x/4)</t>
  </si>
  <si>
    <t>((Forecasted Public Cloud Spend – Actual Public Cloud Spend) / Forecasted Public Cloud Spend)</t>
  </si>
  <si>
    <t>* Periodic review of budget vs forecast
* Track when projects are forecasted to go over budget
* Process to request more budget for projects going over
* RCA to determine cause of budget over run
10*Ceil(x/4)</t>
  </si>
  <si>
    <t>* Defined scope of each project to be estimated
* Developed list of known inputs to the project
* Have a process to determine what may be missing from the inputs or scope
* Have a policy review to determine additional needs for inputs or scope
* For each component of the estimate, list all assumptions
10*Ceil(x/5)</t>
  </si>
  <si>
    <t>* Inventory possible commitment based discounts (RIs, Savings Plans, CUDs, etc.) available for deployed resources
* Consider any private negotiated line item discounts vs public RI/CUD discounts
* Set resource type standards to make use of spend commitments while maintaining needs of the business
* Scenario plan commitment options versus potential changes in resources
* Reference commit allocation strategy to calculate cost impact of shared scope vs private account commitments
10*Ceil(x/5)</t>
  </si>
  <si>
    <t>* Use pricing lists or pricing calculators to estimate workload spend
* Run workloads as trial experiments to get baseline spend
* Estimate workload costs based on similar applications already deployed in your environment
* Determine fixed costs vs formulas for variable costs due to growth of workloads
* Factor in discounts and uptime metrics to determine accurate spend vs list
10*Ceil(x/5)</t>
  </si>
  <si>
    <t>1. Calculate kg of carbon dioxide equivalents (kgCO2e), or similar, for new and ongoing workloads
2. Compare carbon calculations with targets for new projects and overall consumption</t>
  </si>
  <si>
    <t>Measured over: the projects and optimization work feeding the forecast during the review period. These
are few enough to enumerate, so items are assessed against each one rather than as a coverage rate.
* Define and follow process for gathering deployment plans from teams (the process names who submits
  plans, on what cadence, and in what form)
* Determine timeline for each new project to adjust the forecast during that time (each project carries
  start and ramp dates, so its spend lands in the periods it occurs in)
* Determine how optimizations and lower run rate will impact the forecast on a rolling basis (committed
  optimization work is carried into the forecast as a reduction on a stated schedule)
10*Ceil(x/3)</t>
  </si>
  <si>
    <t>x = Estimates whose actual cost landed inside the variance threshold set for them
y = All estimates made whose actual cost is now known
x / y</t>
  </si>
  <si>
    <t>* Refer teams to Documented Estimating Scope &amp; Policy and include these methods in trainings
* Teams track baseline spend for resources they own, and share changes to baseline with leadership
* Teams will share updates about their change in usage of shared resources and dependencies
* Track team adoption of better estimates via KPIs around baseline or plan vs actuals
10*Ceil(x/4)</t>
  </si>
  <si>
    <t>Measured over: the unit metrics the practice has defined. A practice holds few enough units to
enumerate, so items are assessed against each unit metric rather than as a coverage rate.
* Define cost drivers from finance/business (the business volume that drives cost is named with Finance,
  such as orders, users or transactions)
* Gather metrics on a cadence (the volume is collected on a stated schedule with a named owner rather
  than pulled on request)
* Set goals/targets (each unit metric carries a target value and the period that target applies to)
* Set up forecasting and anomaly detection on units (the unit metric itself is forecast and alerted on,
  not only the absolute spend behind it)
10*Ceil(x/4)</t>
  </si>
  <si>
    <t>* Identify key business performance data to select from various operational areas
* Agree on source of truth for business data with common terminology
* Clearly define what a unit of value is for each business metric to be tracked
* Agree on which costs to use in calculations (list, discounted, amortized, etc.)
* Define formulas to allocate cost per unit of business value over the same time period to create a KPI
* Changes to data ingestion, metric definitions, or cost allocations are documented and communicated
10*Ceil(x/6)</t>
  </si>
  <si>
    <t>* Continuously collect data over time for all inputs to unit economic equations
* Automate unit economic calculations for each corresponding point in time for cost and business data
* Create plots of unit economic metrics over time to easily report on and track trends
* Show disaggregated data to compare unit metrics with standalone usage or rate changes
* Include filters to show data by each relevant operational area of the business (product/segment/region/etc.)
* Plots and dashboards are easily accessible by key stakeholders across the business
10*Ceil(x/6)</t>
  </si>
  <si>
    <t>* Collaborate with stakeholders on desired acceptable thresholds or goals for each unit economic value
* Review data with stakeholders when metrics exceed acceptable thresholds in either direction
* Incorporate metric reviews into the decision making processes of stakeholder departments
* The FinOps team should periodically publish an analysis of major changes in the metrics dashboards
  as well as facilitate reviews of metrics, adoption data, modifications, and KPI refreshes
10*Ceil(x/4)</t>
  </si>
  <si>
    <t>* Scenario plan for which metric values will drive the next decisions, behaviors, or outcomes needed
* Investigate root causes for changes in metric values to determine next steps
* Add to the backlog which actions are required to get unit metrics to a desired level
* Unit economics influence the decisions in build vs buy, architecture design, workload placement,
  migration, sourcing, pricing, etc.
10*Ceil(x/4)</t>
  </si>
  <si>
    <t>Measured over: every unit cost improvement communicated during the review period.
* Evidence recorded (each win records the baseline, what was changed, and the outcome)
* Unit named (the win states which unit metric moved, not only a currency amount)
* Measurement type separated (avoidance, savings and cost reduction are reported as distinct
  figures rather than one total)
* Team credited (the team whose change produced the result is named)
* Delivered per persona (each audience receives it in the channel it already uses)
10*Ceil(x/5)</t>
  </si>
  <si>
    <t>Increasing Granularity and Visibility
* Define metadata to track (org, dept, cost center, team, app, etc.)
* Create the hierarchy for each category of metadata (ex teams per dept, cost centers in an org)
10*Ceil(x/2)</t>
  </si>
  <si>
    <t>Unallocated Shared CSP Effective Cloud Cost/ Total CSP Effective Cloud Cost</t>
  </si>
  <si>
    <t>Increasing Granularity and Visibility
* Document as part of tagging strategy and enforcement
* Teams have visibility into where their resources fit into the hierarchy
10*Ceil(x/2)</t>
  </si>
  <si>
    <t>Percentage of total costs that are tagged for Each Required Tag</t>
  </si>
  <si>
    <t xml:space="preserve">x = Total Effective Costs Associated with Unallocated CSP Cloud Resources During
y = Total CSP Cloud Costs During a Period of Time
x / y
</t>
  </si>
  <si>
    <t>Effectiveness/Effort by strategy
* Manually asking teams to tag resources
* Remove untagged resources after time threshold
* Block deployments without proper tags
* Automatically tag based on CI/CD creator and team
10*Ceil(x/4)</t>
  </si>
  <si>
    <t>Measured over: every change to metadata, hierarchy, or shared cost rules made during the review period.
Changes are few enough to enumerate, so items are assessed against each one rather than as a coverage
rate.
* Recurring review (the allocation strategy is reviewed on a published cadence with a named owner)
* Change record (every change carries a rationale and an effective date)
* Advance notice (every change reaches affected resource and budget owners before the effective date)
* Carried gaps (each review records the gaps it did not close, and the next review lists them)
10*Ceil(x/4)</t>
  </si>
  <si>
    <t>* Out-of-the-box tool based anomaly alerts (the anomaly detection shipped by the provider or cost tool
  is enabled)
* Custom simple increase alert calculations (the practice defines its own increase threshold, stating the
  comparison period and the percentage or amount that triggers it)
* Custom alerts per business unit, team, etc. (alert scopes are set per business unit, team or
  application rather than only on the total)
* Alerts per unit costs above thresholds (an alert is configured against a unit cost metric with a stated
  threshold)
10*Ceil(x/4)</t>
  </si>
  <si>
    <t xml:space="preserve">Measured over: the severity tiers the practice defines, and every runbook execution during the review
period for item 5. A tier set is small enough to enumerate, so items 1 to 4 are assessed against each
tier rather than as a coverage rate.
* Defined severity tiers (a fixed set of named severity levels exists)
* Thresholds associated with severity tiers are defined (each tier carries a number that places an
  anomaly in it, such as a variance amount or a percentage)
* Defined and adhered to response SLAs (each tier carries a response time target, and adherence against
  it is reported for the period)
* Published response runbooks (a runbook exists per tier or anomaly type and is reachable by whoever
  responds)
* Runbook percent successful or completed (the share of runbook executions that resolved the case
  without improvisation is measured)
* RCA completed after alerts (a root cause analysis is recorded for the severity tiers that call for one)
10*Ceil(x/6)
</t>
  </si>
  <si>
    <t>x = Resource and budget owners who receive anomaly alerts for the scopes they own, routed
automatically
y = All owners whose scopes anomaly detection covers
x / y</t>
  </si>
  <si>
    <t>Denominator: all anomalies detected during the review period. A field item is met when the field is
populated on 90% or more of those records.
* Single system of record
* Scope fields populated (billing account, service, region, and a named accountable owner)
* Impact fields populated (variance amount in the reporting currency, and the start and end of the
  period the variance covers)
* Timeline fields populated (first occurrence, detection, notification, and resolution timestamps)
* Disposition field populated (true, expected change, or false)
* Retention and queryability (records retained for at least 13 months and queryable by scope,
  disposition, and root cause)
10*Ceil(x/6)</t>
  </si>
  <si>
    <t>Denominator: anomalies recorded with a true positive disposition during the review period. Items 1
through 4 are met when the stated field is populated on 90% or more of those records.
1. Owner and due date (each record carries a named accountable owner and an analysis due date)
2. Root cause recorded (each record carries a root cause entry naming the change that triggered it)
3. Cause classified (each root cause assigned exactly one category from a published, fixed
   category list)
4. Remediation recorded (each record carries a remediation action, its completion date, and the
   measured spend delta over the period following the fix)
5. Preventive control registered (every cause category observed 3 or more times in the trailing
   12 months has a linked policy, guardrail, budget, or detection rule)
10*Ceil(x/5)</t>
  </si>
  <si>
    <t>Measured over: the measures themselves. An item is met when the measure is reported for the review
period.
* Number of detections per time period (the count of anomalies detected is reported per period)
* Number of detections over threshold (the count exceeding a stated materiality threshold is reported
  separately from the total)
* Time to send notifications to stakeholders (elapsed time from detection to the notification reaching a
  named recipient)
* Time to validate anomaly (elapsed time from notification to a recorded disposition of true, expected
  or false)
* Resolution Time/SLA adherence (elapsed time to resolution, reported against the response SLA set in
  action 24)
* False positive rate (anomalies dispositioned false as a share of all anomalies detected)
* Cost Avoidance due to detection (the variance amount avoided, from the variance rate and how long the
  anomaly ran before it was fixed)
* Percent anomalies addressed (anomalies carrying a recorded remediation as a share of those
  dispositioned true)
10*Ceil(x/8)</t>
  </si>
  <si>
    <t>* Weighted sum
  Alert precision (score x4),
  Missed anomalies (score x3),
  Tuning cadence (score x2),
  Tuning governance (score x1).
  Max raw (50)
* Alert_Precision: Alerts confirmed as true positives divided by all alerts raised in the review period
  (0=Not measured, 1&lt;50%, 2=50-69%, 3=70-84%, 4=85-94%, 5=95%+)
* Missed_Anomalies: Share of anomalies first found by invoice review, budget variance, or an owner
  (0=Not measured, 1&gt;25%, 2=10-25%, 3=5-9%, 4=1-4%, 5&lt;1%)
* Tuning_Cadence: How often thresholds are reviewed and adjusted against observed outcomes
  (0=Never, 1=Ad-hoc, 2=Annual, 3=Quarterly, 4=Monthly, 5=Continuous or automated)
* Tuning_Governance: How a threshold change is decided and recorded
  (0=Undocumented, 1=Changed by one person, 2=Documented with rationale,
  3=Reviewed with the alert recipients, 4=Version controlled and auditable,
  5=Version controlled and replayed against historical anomalies before release)
* Output Range (0-50)</t>
  </si>
  <si>
    <t xml:space="preserve">* Define data quality (complete, valid, etc.)
* Manual quality checks
* Automated checks (null % on required fields/tags)
* Response process and triage defined
* SLAs defined and monitored
* Integrate with communication and alerting tools
* Integrate into CI/CD pipelines
10*Ceil(x/7)
</t>
  </si>
  <si>
    <t>Not in order, gain points for each task
* Manual or basic logs
* Define key metrics (failures, latency, etc.)
* Static Dashboard updated manually
* Automated alerts for failures
* Integrate with communication and alerting tools
* Define Process &amp; SLAs:RCAs completed for each
* Tune out false positives
10*Ceil(x/7)</t>
  </si>
  <si>
    <t>* Manual adjustments to invoices and teams
* Define Business Rules for sharing discounts, RI/SP, etc.
* Automate adjustment calculations monthly in arrears
* Automate mappings into reporting platform for realtime adjustments
10*Ceil(x/4)</t>
  </si>
  <si>
    <t>* Dashboard for showback
* Dashboard where teams can dive in to investigate costs
* Ad-hoc dashboards available to teams
* Dashboards for key metrics tracking (tagging, waste, etc.)
10*Ceil(x/4)</t>
  </si>
  <si>
    <t>[{'Score': 0, 'Condition': 'No items completed'}, {'Score': 2, 'Condition': '1 item completed'}, {'Score': 4, 'Condition': '2 items completed'}, {'Score': 6, 'Condition': '3 items completed'}, {'Score': 8, 'Condition': '4 items completed'}, {'Score': 10, 'Condition': '5 items completed'}]</t>
  </si>
  <si>
    <t>[{'Score': 0, 'Condition': 'Low Maturity, Score Range (0-14)'}, {'Score': 4, 'Condition': 'Developing, Score Range (15-30)'}, {'Score': 7, 'Condition': 'Established, Score Range (31-42)'}, {'Score': 10, 'Condition': 'Optimizing, Score Range (43-50)'}]</t>
  </si>
  <si>
    <t>[{'Score': 0, 'Condition': 'No items completed'}, {'Score': 3, 'Condition': '1 item completed'}, {'Score': 5, 'Condition': '2 items completed'}, {'Score': 8, 'Condition': '3 items completed'}, {'Score': 10, 'Condition': '4 items completed'}]</t>
  </si>
  <si>
    <t>[{'Score': 0, 'Condition': 'Not monitored'}, {'Score': 2, 'Condition': 'Reported'}, {'Score': 5, 'Condition': 'Manual remediation'}, {'Score': 10, 'Condition': 'Automated remediation'}]</t>
  </si>
  <si>
    <t>[{'Score': 0, 'Condition': '0 items completed'}, {'Score': 3, 'Condition': '1 item completed'}, {'Score': 5, 'Condition': '2 items completed'}, {'Score': 8, 'Condition': '3 items completed'}, {'Score': 10, 'Condition': '4 items completed'}]</t>
  </si>
  <si>
    <t>[{'Score': 0, 'Condition': 'No items completed'}, {'Score': 4, 'Condition': '1 item completed'}, {'Score': 7, 'Condition': '2 items completed'}, {'Score': 10, 'Condition': '3 items completed'}]</t>
  </si>
  <si>
    <t>[{'Score': 0, 'Condition': 'No items completed'}, {'Score': 3, 'Condition': 'item 1 completed'}, {'Score': 5, 'Condition': 'items 1-2 completed'}, {'Score': 8, 'Condition': 'items 1-3 completed'}, {'Score': 10, 'Condition': 'items 1-4 completed'}]</t>
  </si>
  <si>
    <t>[{'Score': 0, 'Condition': 'Low Maturity (0-9)'}, {'Score': 4, 'Condition': 'Developing (10-18)'}, {'Score': 7, 'Condition': 'Established (19-26)'}, {'Score': 10, 'Condition': 'Optimizing (27-31)'}]</t>
  </si>
  <si>
    <t>[{'Score': 0, 'Condition': 'Low Maturity, Score Range (0-8)'}, {'Score': 4, 'Condition': 'Developing, Score Range (9-17)'}, {'Score': 7, 'Condition': 'Established, Score Range (18-24)'}, {'Score': 10, 'Condition': 'Optimizing, Score Range (25-29)'}]</t>
  </si>
  <si>
    <t>[{'Score': 0, 'Condition': 'Low Maturity, Score Range (0-15)'}, {'Score': 4, 'Condition': 'Developing, Score Range (16-31)'}, {'Score': 7, 'Condition': 'Established, Score Range (32-44)'}, {'Score': 10, 'Condition': 'Optimizing, Score Range (45-52)'}]</t>
  </si>
  <si>
    <t>[{'Score': 0, 'Condition': 'Not done'}, {'Score': 10, 'Condition': 'Completed'}]</t>
  </si>
  <si>
    <t>[{'Score': 0, 'Condition': 'No items completed'}, {'Score': 2, 'Condition': 'item 1 completed'}, {'Score': 4, 'Condition': 'items 1-2 completed'}, {'Score': 6, 'Condition': 'items 1-3 completed'}, {'Score': 8, 'Condition': 'items 1-4 completed'}, {'Score': 10, 'Condition': 'items 1-5 completed'}]</t>
  </si>
  <si>
    <t>[{'Score': 0, 'Condition': 'Assembled in spreadsheets and posted by manual journal entry'}, {'Score': 2, 'Condition': 'Centralized tooling produces the figures, which are then exported and edited by hand'}, {'Score': 5, 'Condition': 'The run is automated end to end and a person posts the result'}, {'Score': 7, 'Condition': 'The run posts to the financial system, with a person reviewing before release'}, {'Score': 10, 'Condition': 'Chargeback and showback reporting is integrated automatically into finance tooling, with exceptions routed for review'}]</t>
  </si>
  <si>
    <t>[{'Score': 0, 'Condition': 'No executive sponsor identified'}, {'Score': 10, 'Condition': 'Executive sponsor formally identified and actively engaged'}]</t>
  </si>
  <si>
    <t>[{'Score': 0, 'Condition': 'No documented method'}, {'Score': 10, 'Condition': 'Documented method of assessing modernization efforts'}]</t>
  </si>
  <si>
    <t>[{'Score': 0, 'Condition': '0%'}, {'Score': 1, 'Condition': '10%'}, {'Score': 2, 'Condition': '20%'}, {'Score': 3, 'Condition': '30%'}, {'Score': 4, 'Condition': '40%'}, {'Score': 5, 'Condition': '50%'}, {'Score': 6, 'Condition': '60%'}, {'Score': 7, 'Condition': '70%'}, {'Score': 8, 'Condition': '80%'}, {'Score': 9, 'Condition': '90%'}, {'Score': 10, 'Condition': 'Near 100%'}]</t>
  </si>
  <si>
    <t>[{'Score': 0, 'Condition': 'Not done'}, {'Score': 10, 'Condition': 'Policy in place and published'}]</t>
  </si>
  <si>
    <t>[{'Score': 0, 'Condition': 'No teardown/shutdown policy'}, {'Score': 3, 'Condition': 'Published policy'}, {'Score': 6, 'Condition': 'Classification tagged or otherwise identifiable'}, {'Score': 10, 'Condition': 'Enforced Policy with tagged/identifiable classifications'}]</t>
  </si>
  <si>
    <t>[{'Score': 0, 'Condition': 'No review of trends'}, {'Score': 3, 'Condition': 'Manual review of trends'}, {'Score': 6, 'Condition': 'Automated trend detection'}, {'Score': 10, 'Condition': 'Manual review and automated trend detection'}]</t>
  </si>
  <si>
    <t>[{'Score': 0, 'Condition': 'Does not exist'}, {'Score': 10, 'Condition': 'Exists'}]</t>
  </si>
  <si>
    <t>[{'Score': 0, 'Condition': 'None'}, {'Score': 1, 'Condition': 'Annual'}, {'Score': 2, 'Condition': 'Quarterly'}, {'Score': 5, 'Condition': 'Monthly'}, {'Score': 7, 'Condition': 'Bi-Weekly'}, {'Score': 8, 'Condition': 'Weekly'}, {'Score': 10, 'Condition': 'Daily'}]</t>
  </si>
  <si>
    <t>[{'Score': 0, 'Condition': 'No alerting'}, {'Score': 10, 'Condition': 'Alerting exists'}]</t>
  </si>
  <si>
    <t>[{'Score': 0, 'Condition': 'No items completed'}, {'Score': 5, 'Condition': 'item 1 completed'}, {'Score': 10, 'Condition': 'item 2 completed'}]</t>
  </si>
  <si>
    <t>[{'Score': 0, 'Condition': 'No items completed'}, {'Score': 2, 'Condition': '1 item completed'}, {'Score': 4, 'Condition': '2 items completed'}, {'Score': 5, 'Condition': '3 items completed'}, {'Score': 7, 'Condition': '4 items completed'}, {'Score': 9, 'Condition': '5 items completed'}, {'Score': 10, 'Condition': '6 items completed'}]</t>
  </si>
  <si>
    <t>[{'Score': 0, 'Condition': 'No items completed'}, {'Score': 5, 'Condition': '1 item completed'}, {'Score': 10, 'Condition': '2 items completed'}]</t>
  </si>
  <si>
    <t>[{'Score': 0, 'Condition': '0%'}, {'Score': 1, 'Condition': '10%'}, {'Score': 2, 'Condition': '20%'}, {'Score': 3, 'Condition': '30%'}, {'Score': 4, 'Condition': '40%'}, {'Score': 5, 'Condition': '50%'}, {'Score': 6, 'Condition': '60%'}, {'Score': 7, 'Condition': '70%'}, {'Score': 8, 'Condition': '80% '}, {'Score': 9, 'Condition': '90%'}, {'Score': 10, 'Condition': 'Near 100%'}]</t>
  </si>
  <si>
    <t>[{'Score': 0, 'Condition': 'No items completed'}, {'Score': 5, 'Condition': '1 item  completed'}, {'Score': 10, 'Condition': '2 items completed'}]</t>
  </si>
  <si>
    <t>[{'Score': 0, 'Condition': 'No alerting to any owners'}, {'Score': 1, 'Condition': 'Alerting in at least one owner'}, {'Score': 3, 'Condition': 'Alerting to some owners [&gt;20%]'}, {'Score': 6, 'Condition': 'Alerting to most owners [&gt;60%]'}, {'Score': 10, 'Condition': 'Alerting to all owners [100%]'}]</t>
  </si>
  <si>
    <t>[{'Score': 0, 'Condition': 'No items completed'}, {'Score': 2, 'Condition': '1 item completed'}, {'Score': 3, 'Condition': '2 items completed'}, {'Score': 4, 'Condition': '3 items completed'}, {'Score': 5, 'Condition': '4 items completed'}, {'Score': 7, 'Condition': '5 items completed'}, {'Score': 8, 'Condition': '6 items completed'}, {'Score': 9, 'Condition': '7 items completed'}, {'Score': 10, 'Condition': '8 items completed'}]</t>
  </si>
  <si>
    <t>[{'Score': 0, 'Condition': 'Never'}, {'Score': 1, 'Condition': 'Monthly or greater'}, {'Score': 2, 'Condition': 'More than a week'}, {'Score': 3, 'Condition': '7 days'}, {'Score': 4, 'Condition': '5 days'}, {'Score': 6, 'Condition': '2 days'}, {'Score': 8, 'Condition': '1 day'}, {'Score': 10, 'Condition': 'Instant'}]</t>
  </si>
  <si>
    <t>[{'Score': 0, 'Condition': 'No items completed'}, {'Score': 2, 'Condition': '1 items completed'}, {'Score': 3, 'Condition': '2 items completed'}, {'Score': 5, 'Condition': '3 items completed'}, {'Score': 6, 'Condition': '4 items completed'}, {'Score': 8, 'Condition': '5 items completed'}, {'Score': 9, 'Condition': '6 items completed'}, {'Score': 10, 'Condition': '7 items completed'}]</t>
  </si>
  <si>
    <t>[{'Score': 0, 'Condition': 'No alerting in workflow tools'}, {'Score': 1, 'Condition': 'Alerting in at least one tool'}, {'Score': 3, 'Condition': 'Alerting in some tooling [&gt;20%]'}, {'Score': 6, 'Condition': 'Alerting in most tooling [&gt;60%]'}, {'Score': 10, 'Condition': 'Alerting in all workflow tools [100%]'}]</t>
  </si>
  <si>
    <t>0: No items completed</t>
  </si>
  <si>
    <t>0: Low Maturity. Score Range (0-14)</t>
  </si>
  <si>
    <t>0: Not monitored</t>
  </si>
  <si>
    <t>0: 0 items completed</t>
  </si>
  <si>
    <t>0: Low Maturity (0-9)</t>
  </si>
  <si>
    <t>0: Low Maturity. Score Range (0-8)</t>
  </si>
  <si>
    <t>0: Low Maturity. Score Range (0-15)</t>
  </si>
  <si>
    <t>0: Not done</t>
  </si>
  <si>
    <t>0: Assembled in spreadsheets and posted by manual journal entry</t>
  </si>
  <si>
    <t>0: No executive sponsor identified</t>
  </si>
  <si>
    <t>0: No documented method</t>
  </si>
  <si>
    <t>0: 0%</t>
  </si>
  <si>
    <t>0: No teardown/shutdown policy</t>
  </si>
  <si>
    <t>0: No review of trends</t>
  </si>
  <si>
    <t>0: Does not exist</t>
  </si>
  <si>
    <t>0: None</t>
  </si>
  <si>
    <t>0: No alerting</t>
  </si>
  <si>
    <t>0: No alerting to any owners</t>
  </si>
  <si>
    <t>0: Never</t>
  </si>
  <si>
    <t>0: No alerting in workflow tools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</si>
</sst>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chartsheet" Target="chartsheets/sheet1.xml"/><Relationship Id="rId3" Type="http://schemas.openxmlformats.org/officeDocument/2006/relationships/chartsheet" Target="chartsheets/sheet2.xml"/><Relationship Id="rId4" Type="http://schemas.openxmlformats.org/officeDocument/2006/relationships/worksheet" Target="worksheets/sheet2.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37"/>
  <c:chart>
    <c:plotArea>
      <c:layout/>
      <c:pieChart>
        <c:varyColors val="1"/>
        <c:ser>
          <c:idx val="0"/>
          <c:order val="0"/>
          <c:tx>
            <c:v>Attained Percentage of Maximum Possible Score for FinOps Foundation</c:v>
          </c:tx>
          <c:dLbls>
            <c:showPercent val="1"/>
          </c:dLbls>
          <c:cat>
            <c:strRef>
              <c:f>Overview!$C$1:$D$1</c:f>
              <c:strCache>
                <c:ptCount val="2"/>
                <c:pt idx="0">
                  <c:v>Calculated Weighted Average Score</c:v>
                </c:pt>
                <c:pt idx="1">
                  <c:v>Difference from Maximum Score</c:v>
                </c:pt>
              </c:strCache>
            </c:strRef>
          </c:cat>
          <c:val>
            <c:numRef>
              <c:f>Overview!$C$2:$D$2</c:f>
              <c:numCache>
                <c:formatCode>General</c:formatCode>
                <c:ptCount val="2"/>
                <c:pt idx="0">
                  <c:v>0</c:v>
                </c:pt>
                <c:pt idx="1">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29"/>
  <c:chart>
    <c:plotArea>
      <c:layout/>
      <c:radarChart>
        <c:radarStyle val="filled"/>
        <c:ser>
          <c:idx val="0"/>
          <c:order val="0"/>
          <c:tx>
            <c:v>Attained Maturity by Domain</c:v>
          </c:tx>
          <c:cat>
            <c:strRef>
              <c:f>Overview!$A$5:$A$8</c:f>
              <c:strCache>
                <c:ptCount val="4"/>
                <c:pt idx="0">
                  <c:v>Manage the FinOps Practice</c:v>
                </c:pt>
                <c:pt idx="1">
                  <c:v>Optimize Usage &amp; Cost</c:v>
                </c:pt>
                <c:pt idx="2">
                  <c:v>Quantify Business Value</c:v>
                </c:pt>
                <c:pt idx="3">
                  <c:v>Understand Usage &amp; Cost</c:v>
                </c:pt>
              </c:strCache>
            </c:strRef>
          </c:cat>
          <c:val>
            <c:numRef>
              <c:f>Overview!$U$5:$U$8</c:f>
              <c:numCache>
                <c:formatCode>General</c:formatCode>
                <c:ptCount val="4"/>
                <c:pt idx="0">
                  <c:v>0</c:v>
                </c:pt>
                <c:pt idx="1">
                  <c:v>0</c:v>
                </c:pt>
                <c:pt idx="2">
                  <c:v>0</c:v>
                </c:pt>
                <c:pt idx="3">
                  <c:v>0</c:v>
                </c:pt>
              </c:numCache>
            </c:numRef>
          </c:val>
        </c:ser>
        <c:axId val="50020001"/>
        <c:axId val="50020002"/>
      </c:radarChart>
      <c:catAx>
        <c:axId val="50020001"/>
        <c:scaling>
          <c:orientation val="minMax"/>
        </c:scaling>
        <c:axPos val="b"/>
        <c:majorGridlines/>
        <c:tickLblPos val="nextTo"/>
        <c:crossAx val="50020002"/>
        <c:crosses val="autoZero"/>
        <c:auto val="1"/>
        <c:lblAlgn val="ctr"/>
        <c:lblOffset val="100"/>
      </c:catAx>
      <c:valAx>
        <c:axId val="50020002"/>
        <c:scaling>
          <c:orientation val="minMax"/>
          <c:max val="10"/>
          <c:min val="0"/>
        </c:scaling>
        <c:axPos val="l"/>
        <c:majorGridlines/>
        <c:numFmt formatCode="General" sourceLinked="1"/>
        <c:tickLblPos val="nextTo"/>
        <c:crossAx val="50020001"/>
        <c:crosses val="autoZero"/>
        <c:crossBetween val="between"/>
      </c:valAx>
    </c:plotArea>
  </c:chart>
</c:chartSpace>
</file>

<file path=xl/charts/chart3.xml><?xml version="1.0" encoding="utf-8"?>
<c:chartSpace xmlns:c="http://schemas.openxmlformats.org/drawingml/2006/chart" xmlns:a="http://schemas.openxmlformats.org/drawingml/2006/main" xmlns:r="http://schemas.openxmlformats.org/officeDocument/2006/relationships">
  <c:lang val="en-US"/>
  <c:style val="29"/>
  <c:chart>
    <c:plotArea>
      <c:layout/>
      <c:radarChart>
        <c:radarStyle val="filled"/>
        <c:ser>
          <c:idx val="0"/>
          <c:order val="0"/>
          <c:tx>
            <c:v>Attained Maturity by Capability</c:v>
          </c:tx>
          <c:cat>
            <c:strRef>
              <c:f>Overview!$A$12:$A$33</c:f>
              <c:strCache>
                <c:ptCount val="22"/>
                <c:pt idx="0">
                  <c:v>Allocation</c:v>
                </c:pt>
                <c:pt idx="1">
                  <c:v>Anomaly Management</c:v>
                </c:pt>
                <c:pt idx="2">
                  <c:v>Architecting &amp; Workload Placement</c:v>
                </c:pt>
                <c:pt idx="3">
                  <c:v>Automation, Tools &amp; Services</c:v>
                </c:pt>
                <c:pt idx="4">
                  <c:v>Budgeting</c:v>
                </c:pt>
                <c:pt idx="5">
                  <c:v>Data Ingestion</c:v>
                </c:pt>
                <c:pt idx="6">
                  <c:v>Executive Strategy Alignment</c:v>
                </c:pt>
                <c:pt idx="7">
                  <c:v>FinOps Assessment</c:v>
                </c:pt>
                <c:pt idx="8">
                  <c:v>FinOps Education &amp; Enablement</c:v>
                </c:pt>
                <c:pt idx="9">
                  <c:v>FinOps Practice Operations</c:v>
                </c:pt>
                <c:pt idx="10">
                  <c:v>Forecasting</c:v>
                </c:pt>
                <c:pt idx="11">
                  <c:v>Governance, Policy &amp; Risk</c:v>
                </c:pt>
                <c:pt idx="12">
                  <c:v>Intersecting Disciplines</c:v>
                </c:pt>
                <c:pt idx="13">
                  <c:v>Invoicing &amp; Chargeback</c:v>
                </c:pt>
                <c:pt idx="14">
                  <c:v>KPIs &amp; Benchmarking</c:v>
                </c:pt>
                <c:pt idx="15">
                  <c:v>Licensing &amp; SaaS</c:v>
                </c:pt>
                <c:pt idx="16">
                  <c:v>Planning &amp; Estimating</c:v>
                </c:pt>
                <c:pt idx="17">
                  <c:v>Rate Optimization</c:v>
                </c:pt>
                <c:pt idx="18">
                  <c:v>Reporting &amp; Analytics</c:v>
                </c:pt>
                <c:pt idx="19">
                  <c:v>Sustainability</c:v>
                </c:pt>
                <c:pt idx="20">
                  <c:v>Unit Economics</c:v>
                </c:pt>
                <c:pt idx="21">
                  <c:v>Usage Optimization</c:v>
                </c:pt>
              </c:strCache>
            </c:strRef>
          </c:cat>
          <c:val>
            <c:numRef>
              <c:f>Overview!$U$12:$U$33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er>
        <c:axId val="50030001"/>
        <c:axId val="50030002"/>
      </c:radarChart>
      <c:catAx>
        <c:axId val="50030001"/>
        <c:scaling>
          <c:orientation val="minMax"/>
        </c:scaling>
        <c:axPos val="b"/>
        <c:majorGridlines/>
        <c:tickLblPos val="nextTo"/>
        <c:crossAx val="50030002"/>
        <c:crosses val="autoZero"/>
        <c:auto val="1"/>
        <c:lblAlgn val="ctr"/>
        <c:lblOffset val="100"/>
      </c:catAx>
      <c:valAx>
        <c:axId val="50030002"/>
        <c:scaling>
          <c:orientation val="minMax"/>
          <c:max val="10"/>
          <c:min val="0"/>
        </c:scaling>
        <c:axPos val="l"/>
        <c:majorGridlines/>
        <c:numFmt formatCode="General" sourceLinked="1"/>
        <c:tickLblPos val="nextTo"/>
        <c:crossAx val="50030001"/>
        <c:crosses val="autoZero"/>
        <c:crossBetween val="between"/>
      </c:valAx>
    </c:plotArea>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4</xdr:col>
      <xdr:colOff>428625</xdr:colOff>
      <xdr:row>17</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308969" cy="60783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8969" cy="60783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id="1" name="Table1" displayName="Table1" ref="A1:D2" totalsRowShown="0">
  <tableColumns count="4">
    <tableColumn id="1" name="Sum of Weights"/>
    <tableColumn id="2" name="Maximum Possible Score"/>
    <tableColumn id="3" name="Calculated Weighted Average Score"/>
    <tableColumn id="4" name="Difference from Maximum Score"/>
  </tableColumns>
  <tableStyleInfo name="TableStyleLight11" showFirstColumn="0" showLastColumn="0" showRowStripes="1" showColumnStripes="0"/>
</table>
</file>

<file path=xl/tables/table2.xml><?xml version="1.0" encoding="utf-8"?>
<table xmlns="http://schemas.openxmlformats.org/spreadsheetml/2006/main" id="2" name="Table2" displayName="Table2" ref="A4:B8" totalsRowShown="0">
  <tableColumns count="2">
    <tableColumn id="1" name="Domain"/>
    <tableColumn id="2" name="Action Count"/>
  </tableColumns>
  <tableStyleInfo name="TableStyleLight11" showFirstColumn="0" showLastColumn="0" showRowStripes="1" showColumnStripes="0"/>
</table>
</file>

<file path=xl/tables/table3.xml><?xml version="1.0" encoding="utf-8"?>
<table xmlns="http://schemas.openxmlformats.org/spreadsheetml/2006/main" id="3" name="Table3" displayName="Table3" ref="A11:B33" totalsRowShown="0">
  <tableColumns count="2">
    <tableColumn id="1" name="Capability"/>
    <tableColumn id="2" name="Action Count"/>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FinOpsPP/Framework-Assessment/tree/main/components/actions/102.md" TargetMode="External"/><Relationship Id="rId2" Type="http://schemas.openxmlformats.org/officeDocument/2006/relationships/hyperlink" Target="https://github.com/FinOpsPP/Framework-Assessment/tree/main/components/actions/103.md" TargetMode="External"/><Relationship Id="rId3" Type="http://schemas.openxmlformats.org/officeDocument/2006/relationships/hyperlink" Target="https://github.com/FinOpsPP/Framework-Assessment/tree/main/components/actions/104.md" TargetMode="External"/><Relationship Id="rId4" Type="http://schemas.openxmlformats.org/officeDocument/2006/relationships/hyperlink" Target="https://github.com/FinOpsPP/Framework-Assessment/tree/main/components/actions/105.md" TargetMode="External"/><Relationship Id="rId5" Type="http://schemas.openxmlformats.org/officeDocument/2006/relationships/hyperlink" Target="https://github.com/FinOpsPP/Framework-Assessment/tree/main/components/actions/106.md" TargetMode="External"/><Relationship Id="rId6" Type="http://schemas.openxmlformats.org/officeDocument/2006/relationships/hyperlink" Target="https://github.com/FinOpsPP/Framework-Assessment/tree/main/components/actions/113.md" TargetMode="External"/><Relationship Id="rId7" Type="http://schemas.openxmlformats.org/officeDocument/2006/relationships/hyperlink" Target="https://github.com/FinOpsPP/Framework-Assessment/tree/main/components/actions/114.md" TargetMode="External"/><Relationship Id="rId8" Type="http://schemas.openxmlformats.org/officeDocument/2006/relationships/hyperlink" Target="https://github.com/FinOpsPP/Framework-Assessment/tree/main/components/actions/115.md" TargetMode="External"/><Relationship Id="rId9" Type="http://schemas.openxmlformats.org/officeDocument/2006/relationships/hyperlink" Target="https://github.com/FinOpsPP/Framework-Assessment/tree/main/components/actions/116.md" TargetMode="External"/><Relationship Id="rId10" Type="http://schemas.openxmlformats.org/officeDocument/2006/relationships/hyperlink" Target="https://github.com/FinOpsPP/Framework-Assessment/tree/main/components/actions/117.md" TargetMode="External"/><Relationship Id="rId11" Type="http://schemas.openxmlformats.org/officeDocument/2006/relationships/hyperlink" Target="https://github.com/FinOpsPP/Framework-Assessment/tree/main/components/actions/097.md" TargetMode="External"/><Relationship Id="rId12" Type="http://schemas.openxmlformats.org/officeDocument/2006/relationships/hyperlink" Target="https://github.com/FinOpsPP/Framework-Assessment/tree/main/components/actions/098.md" TargetMode="External"/><Relationship Id="rId13" Type="http://schemas.openxmlformats.org/officeDocument/2006/relationships/hyperlink" Target="https://github.com/FinOpsPP/Framework-Assessment/tree/main/components/actions/099.md" TargetMode="External"/><Relationship Id="rId14" Type="http://schemas.openxmlformats.org/officeDocument/2006/relationships/hyperlink" Target="https://github.com/FinOpsPP/Framework-Assessment/tree/main/components/actions/100.md" TargetMode="External"/><Relationship Id="rId15" Type="http://schemas.openxmlformats.org/officeDocument/2006/relationships/hyperlink" Target="https://github.com/FinOpsPP/Framework-Assessment/tree/main/components/actions/101.md" TargetMode="External"/><Relationship Id="rId16" Type="http://schemas.openxmlformats.org/officeDocument/2006/relationships/hyperlink" Target="https://github.com/FinOpsPP/Framework-Assessment/tree/main/components/actions/091.md" TargetMode="External"/><Relationship Id="rId17" Type="http://schemas.openxmlformats.org/officeDocument/2006/relationships/hyperlink" Target="https://github.com/FinOpsPP/Framework-Assessment/tree/main/components/actions/092.md" TargetMode="External"/><Relationship Id="rId18" Type="http://schemas.openxmlformats.org/officeDocument/2006/relationships/hyperlink" Target="https://github.com/FinOpsPP/Framework-Assessment/tree/main/components/actions/093.md" TargetMode="External"/><Relationship Id="rId19" Type="http://schemas.openxmlformats.org/officeDocument/2006/relationships/hyperlink" Target="https://github.com/FinOpsPP/Framework-Assessment/tree/main/components/actions/094.md" TargetMode="External"/><Relationship Id="rId20" Type="http://schemas.openxmlformats.org/officeDocument/2006/relationships/hyperlink" Target="https://github.com/FinOpsPP/Framework-Assessment/tree/main/components/actions/095.md" TargetMode="External"/><Relationship Id="rId21" Type="http://schemas.openxmlformats.org/officeDocument/2006/relationships/hyperlink" Target="https://github.com/FinOpsPP/Framework-Assessment/tree/main/components/actions/096.md" TargetMode="External"/><Relationship Id="rId22" Type="http://schemas.openxmlformats.org/officeDocument/2006/relationships/hyperlink" Target="https://github.com/FinOpsPP/Framework-Assessment/tree/main/components/actions/124.md" TargetMode="External"/><Relationship Id="rId23" Type="http://schemas.openxmlformats.org/officeDocument/2006/relationships/hyperlink" Target="https://github.com/FinOpsPP/Framework-Assessment/tree/main/components/actions/125.md" TargetMode="External"/><Relationship Id="rId24" Type="http://schemas.openxmlformats.org/officeDocument/2006/relationships/hyperlink" Target="https://github.com/FinOpsPP/Framework-Assessment/tree/main/components/actions/126.md" TargetMode="External"/><Relationship Id="rId25" Type="http://schemas.openxmlformats.org/officeDocument/2006/relationships/hyperlink" Target="https://github.com/FinOpsPP/Framework-Assessment/tree/main/components/actions/127.md" TargetMode="External"/><Relationship Id="rId26" Type="http://schemas.openxmlformats.org/officeDocument/2006/relationships/hyperlink" Target="https://github.com/FinOpsPP/Framework-Assessment/tree/main/components/actions/128.md" TargetMode="External"/><Relationship Id="rId27" Type="http://schemas.openxmlformats.org/officeDocument/2006/relationships/hyperlink" Target="https://github.com/FinOpsPP/Framework-Assessment/tree/main/components/actions/129.md" TargetMode="External"/><Relationship Id="rId28" Type="http://schemas.openxmlformats.org/officeDocument/2006/relationships/hyperlink" Target="https://github.com/FinOpsPP/Framework-Assessment/tree/main/components/actions/130.md" TargetMode="External"/><Relationship Id="rId29" Type="http://schemas.openxmlformats.org/officeDocument/2006/relationships/hyperlink" Target="https://github.com/FinOpsPP/Framework-Assessment/tree/main/components/actions/131.md" TargetMode="External"/><Relationship Id="rId30" Type="http://schemas.openxmlformats.org/officeDocument/2006/relationships/hyperlink" Target="https://github.com/FinOpsPP/Framework-Assessment/tree/main/components/actions/132.md" TargetMode="External"/><Relationship Id="rId31" Type="http://schemas.openxmlformats.org/officeDocument/2006/relationships/hyperlink" Target="https://github.com/FinOpsPP/Framework-Assessment/tree/main/components/actions/133.md" TargetMode="External"/><Relationship Id="rId32" Type="http://schemas.openxmlformats.org/officeDocument/2006/relationships/hyperlink" Target="https://github.com/FinOpsPP/Framework-Assessment/tree/main/components/actions/134.md" TargetMode="External"/><Relationship Id="rId33" Type="http://schemas.openxmlformats.org/officeDocument/2006/relationships/hyperlink" Target="https://github.com/FinOpsPP/Framework-Assessment/tree/main/components/actions/107.md" TargetMode="External"/><Relationship Id="rId34" Type="http://schemas.openxmlformats.org/officeDocument/2006/relationships/hyperlink" Target="https://github.com/FinOpsPP/Framework-Assessment/tree/main/components/actions/108.md" TargetMode="External"/><Relationship Id="rId35" Type="http://schemas.openxmlformats.org/officeDocument/2006/relationships/hyperlink" Target="https://github.com/FinOpsPP/Framework-Assessment/tree/main/components/actions/109.md" TargetMode="External"/><Relationship Id="rId36" Type="http://schemas.openxmlformats.org/officeDocument/2006/relationships/hyperlink" Target="https://github.com/FinOpsPP/Framework-Assessment/tree/main/components/actions/110.md" TargetMode="External"/><Relationship Id="rId37" Type="http://schemas.openxmlformats.org/officeDocument/2006/relationships/hyperlink" Target="https://github.com/FinOpsPP/Framework-Assessment/tree/main/components/actions/111.md" TargetMode="External"/><Relationship Id="rId38" Type="http://schemas.openxmlformats.org/officeDocument/2006/relationships/hyperlink" Target="https://github.com/FinOpsPP/Framework-Assessment/tree/main/components/actions/112.md" TargetMode="External"/><Relationship Id="rId39" Type="http://schemas.openxmlformats.org/officeDocument/2006/relationships/hyperlink" Target="https://github.com/FinOpsPP/Framework-Assessment/tree/main/components/actions/136.md" TargetMode="External"/><Relationship Id="rId40" Type="http://schemas.openxmlformats.org/officeDocument/2006/relationships/hyperlink" Target="https://github.com/FinOpsPP/Framework-Assessment/tree/main/components/actions/137.md" TargetMode="External"/><Relationship Id="rId41" Type="http://schemas.openxmlformats.org/officeDocument/2006/relationships/hyperlink" Target="https://github.com/FinOpsPP/Framework-Assessment/tree/main/components/actions/138.md" TargetMode="External"/><Relationship Id="rId42" Type="http://schemas.openxmlformats.org/officeDocument/2006/relationships/hyperlink" Target="https://github.com/FinOpsPP/Framework-Assessment/tree/main/components/actions/139.md" TargetMode="External"/><Relationship Id="rId43" Type="http://schemas.openxmlformats.org/officeDocument/2006/relationships/hyperlink" Target="https://github.com/FinOpsPP/Framework-Assessment/tree/main/components/actions/061.md" TargetMode="External"/><Relationship Id="rId44" Type="http://schemas.openxmlformats.org/officeDocument/2006/relationships/hyperlink" Target="https://github.com/FinOpsPP/Framework-Assessment/tree/main/components/actions/062.md" TargetMode="External"/><Relationship Id="rId45" Type="http://schemas.openxmlformats.org/officeDocument/2006/relationships/hyperlink" Target="https://github.com/FinOpsPP/Framework-Assessment/tree/main/components/actions/063.md" TargetMode="External"/><Relationship Id="rId46" Type="http://schemas.openxmlformats.org/officeDocument/2006/relationships/hyperlink" Target="https://github.com/FinOpsPP/Framework-Assessment/tree/main/components/actions/064.md" TargetMode="External"/><Relationship Id="rId47" Type="http://schemas.openxmlformats.org/officeDocument/2006/relationships/hyperlink" Target="https://github.com/FinOpsPP/Framework-Assessment/tree/main/components/actions/065.md" TargetMode="External"/><Relationship Id="rId48" Type="http://schemas.openxmlformats.org/officeDocument/2006/relationships/hyperlink" Target="https://github.com/FinOpsPP/Framework-Assessment/tree/main/components/actions/066.md" TargetMode="External"/><Relationship Id="rId49" Type="http://schemas.openxmlformats.org/officeDocument/2006/relationships/hyperlink" Target="https://github.com/FinOpsPP/Framework-Assessment/tree/main/components/actions/118.md" TargetMode="External"/><Relationship Id="rId50" Type="http://schemas.openxmlformats.org/officeDocument/2006/relationships/hyperlink" Target="https://github.com/FinOpsPP/Framework-Assessment/tree/main/components/actions/119.md" TargetMode="External"/><Relationship Id="rId51" Type="http://schemas.openxmlformats.org/officeDocument/2006/relationships/hyperlink" Target="https://github.com/FinOpsPP/Framework-Assessment/tree/main/components/actions/120.md" TargetMode="External"/><Relationship Id="rId52" Type="http://schemas.openxmlformats.org/officeDocument/2006/relationships/hyperlink" Target="https://github.com/FinOpsPP/Framework-Assessment/tree/main/components/actions/121.md" TargetMode="External"/><Relationship Id="rId53" Type="http://schemas.openxmlformats.org/officeDocument/2006/relationships/hyperlink" Target="https://github.com/FinOpsPP/Framework-Assessment/tree/main/components/actions/122.md" TargetMode="External"/><Relationship Id="rId54" Type="http://schemas.openxmlformats.org/officeDocument/2006/relationships/hyperlink" Target="https://github.com/FinOpsPP/Framework-Assessment/tree/main/components/actions/123.md" TargetMode="External"/><Relationship Id="rId55" Type="http://schemas.openxmlformats.org/officeDocument/2006/relationships/hyperlink" Target="https://github.com/FinOpsPP/Framework-Assessment/tree/main/components/actions/085.md" TargetMode="External"/><Relationship Id="rId56" Type="http://schemas.openxmlformats.org/officeDocument/2006/relationships/hyperlink" Target="https://github.com/FinOpsPP/Framework-Assessment/tree/main/components/actions/086.md" TargetMode="External"/><Relationship Id="rId57" Type="http://schemas.openxmlformats.org/officeDocument/2006/relationships/hyperlink" Target="https://github.com/FinOpsPP/Framework-Assessment/tree/main/components/actions/087.md" TargetMode="External"/><Relationship Id="rId58" Type="http://schemas.openxmlformats.org/officeDocument/2006/relationships/hyperlink" Target="https://github.com/FinOpsPP/Framework-Assessment/tree/main/components/actions/088.md" TargetMode="External"/><Relationship Id="rId59" Type="http://schemas.openxmlformats.org/officeDocument/2006/relationships/hyperlink" Target="https://github.com/FinOpsPP/Framework-Assessment/tree/main/components/actions/089.md" TargetMode="External"/><Relationship Id="rId60" Type="http://schemas.openxmlformats.org/officeDocument/2006/relationships/hyperlink" Target="https://github.com/FinOpsPP/Framework-Assessment/tree/main/components/actions/090.md" TargetMode="External"/><Relationship Id="rId61" Type="http://schemas.openxmlformats.org/officeDocument/2006/relationships/hyperlink" Target="https://github.com/FinOpsPP/Framework-Assessment/tree/main/components/actions/073.md" TargetMode="External"/><Relationship Id="rId62" Type="http://schemas.openxmlformats.org/officeDocument/2006/relationships/hyperlink" Target="https://github.com/FinOpsPP/Framework-Assessment/tree/main/components/actions/074.md" TargetMode="External"/><Relationship Id="rId63" Type="http://schemas.openxmlformats.org/officeDocument/2006/relationships/hyperlink" Target="https://github.com/FinOpsPP/Framework-Assessment/tree/main/components/actions/075.md" TargetMode="External"/><Relationship Id="rId64" Type="http://schemas.openxmlformats.org/officeDocument/2006/relationships/hyperlink" Target="https://github.com/FinOpsPP/Framework-Assessment/tree/main/components/actions/076.md" TargetMode="External"/><Relationship Id="rId65" Type="http://schemas.openxmlformats.org/officeDocument/2006/relationships/hyperlink" Target="https://github.com/FinOpsPP/Framework-Assessment/tree/main/components/actions/077.md" TargetMode="External"/><Relationship Id="rId66" Type="http://schemas.openxmlformats.org/officeDocument/2006/relationships/hyperlink" Target="https://github.com/FinOpsPP/Framework-Assessment/tree/main/components/actions/078.md" TargetMode="External"/><Relationship Id="rId67" Type="http://schemas.openxmlformats.org/officeDocument/2006/relationships/hyperlink" Target="https://github.com/FinOpsPP/Framework-Assessment/tree/main/components/actions/079.md" TargetMode="External"/><Relationship Id="rId68" Type="http://schemas.openxmlformats.org/officeDocument/2006/relationships/hyperlink" Target="https://github.com/FinOpsPP/Framework-Assessment/tree/main/components/actions/080.md" TargetMode="External"/><Relationship Id="rId69" Type="http://schemas.openxmlformats.org/officeDocument/2006/relationships/hyperlink" Target="https://github.com/FinOpsPP/Framework-Assessment/tree/main/components/actions/081.md" TargetMode="External"/><Relationship Id="rId70" Type="http://schemas.openxmlformats.org/officeDocument/2006/relationships/hyperlink" Target="https://github.com/FinOpsPP/Framework-Assessment/tree/main/components/actions/082.md" TargetMode="External"/><Relationship Id="rId71" Type="http://schemas.openxmlformats.org/officeDocument/2006/relationships/hyperlink" Target="https://github.com/FinOpsPP/Framework-Assessment/tree/main/components/actions/083.md" TargetMode="External"/><Relationship Id="rId72" Type="http://schemas.openxmlformats.org/officeDocument/2006/relationships/hyperlink" Target="https://github.com/FinOpsPP/Framework-Assessment/tree/main/components/actions/084.md" TargetMode="External"/><Relationship Id="rId73" Type="http://schemas.openxmlformats.org/officeDocument/2006/relationships/hyperlink" Target="https://github.com/FinOpsPP/Framework-Assessment/tree/main/components/actions/067.md" TargetMode="External"/><Relationship Id="rId74" Type="http://schemas.openxmlformats.org/officeDocument/2006/relationships/hyperlink" Target="https://github.com/FinOpsPP/Framework-Assessment/tree/main/components/actions/068.md" TargetMode="External"/><Relationship Id="rId75" Type="http://schemas.openxmlformats.org/officeDocument/2006/relationships/hyperlink" Target="https://github.com/FinOpsPP/Framework-Assessment/tree/main/components/actions/069.md" TargetMode="External"/><Relationship Id="rId76" Type="http://schemas.openxmlformats.org/officeDocument/2006/relationships/hyperlink" Target="https://github.com/FinOpsPP/Framework-Assessment/tree/main/components/actions/070.md" TargetMode="External"/><Relationship Id="rId77" Type="http://schemas.openxmlformats.org/officeDocument/2006/relationships/hyperlink" Target="https://github.com/FinOpsPP/Framework-Assessment/tree/main/components/actions/071.md" TargetMode="External"/><Relationship Id="rId78" Type="http://schemas.openxmlformats.org/officeDocument/2006/relationships/hyperlink" Target="https://github.com/FinOpsPP/Framework-Assessment/tree/main/components/actions/072.md" TargetMode="External"/><Relationship Id="rId79" Type="http://schemas.openxmlformats.org/officeDocument/2006/relationships/hyperlink" Target="https://github.com/FinOpsPP/Framework-Assessment/tree/main/components/actions/049.md" TargetMode="External"/><Relationship Id="rId80" Type="http://schemas.openxmlformats.org/officeDocument/2006/relationships/hyperlink" Target="https://github.com/FinOpsPP/Framework-Assessment/tree/main/components/actions/050.md" TargetMode="External"/><Relationship Id="rId81" Type="http://schemas.openxmlformats.org/officeDocument/2006/relationships/hyperlink" Target="https://github.com/FinOpsPP/Framework-Assessment/tree/main/components/actions/051.md" TargetMode="External"/><Relationship Id="rId82" Type="http://schemas.openxmlformats.org/officeDocument/2006/relationships/hyperlink" Target="https://github.com/FinOpsPP/Framework-Assessment/tree/main/components/actions/052.md" TargetMode="External"/><Relationship Id="rId83" Type="http://schemas.openxmlformats.org/officeDocument/2006/relationships/hyperlink" Target="https://github.com/FinOpsPP/Framework-Assessment/tree/main/components/actions/053.md" TargetMode="External"/><Relationship Id="rId84" Type="http://schemas.openxmlformats.org/officeDocument/2006/relationships/hyperlink" Target="https://github.com/FinOpsPP/Framework-Assessment/tree/main/components/actions/054.md" TargetMode="External"/><Relationship Id="rId85" Type="http://schemas.openxmlformats.org/officeDocument/2006/relationships/hyperlink" Target="https://github.com/FinOpsPP/Framework-Assessment/tree/main/components/actions/043.md" TargetMode="External"/><Relationship Id="rId86" Type="http://schemas.openxmlformats.org/officeDocument/2006/relationships/hyperlink" Target="https://github.com/FinOpsPP/Framework-Assessment/tree/main/components/actions/044.md" TargetMode="External"/><Relationship Id="rId87" Type="http://schemas.openxmlformats.org/officeDocument/2006/relationships/hyperlink" Target="https://github.com/FinOpsPP/Framework-Assessment/tree/main/components/actions/045.md" TargetMode="External"/><Relationship Id="rId88" Type="http://schemas.openxmlformats.org/officeDocument/2006/relationships/hyperlink" Target="https://github.com/FinOpsPP/Framework-Assessment/tree/main/components/actions/046.md" TargetMode="External"/><Relationship Id="rId89" Type="http://schemas.openxmlformats.org/officeDocument/2006/relationships/hyperlink" Target="https://github.com/FinOpsPP/Framework-Assessment/tree/main/components/actions/047.md" TargetMode="External"/><Relationship Id="rId90" Type="http://schemas.openxmlformats.org/officeDocument/2006/relationships/hyperlink" Target="https://github.com/FinOpsPP/Framework-Assessment/tree/main/components/actions/048.md" TargetMode="External"/><Relationship Id="rId91" Type="http://schemas.openxmlformats.org/officeDocument/2006/relationships/hyperlink" Target="https://github.com/FinOpsPP/Framework-Assessment/tree/main/components/actions/037.md" TargetMode="External"/><Relationship Id="rId92" Type="http://schemas.openxmlformats.org/officeDocument/2006/relationships/hyperlink" Target="https://github.com/FinOpsPP/Framework-Assessment/tree/main/components/actions/038.md" TargetMode="External"/><Relationship Id="rId93" Type="http://schemas.openxmlformats.org/officeDocument/2006/relationships/hyperlink" Target="https://github.com/FinOpsPP/Framework-Assessment/tree/main/components/actions/039.md" TargetMode="External"/><Relationship Id="rId94" Type="http://schemas.openxmlformats.org/officeDocument/2006/relationships/hyperlink" Target="https://github.com/FinOpsPP/Framework-Assessment/tree/main/components/actions/040.md" TargetMode="External"/><Relationship Id="rId95" Type="http://schemas.openxmlformats.org/officeDocument/2006/relationships/hyperlink" Target="https://github.com/FinOpsPP/Framework-Assessment/tree/main/components/actions/041.md" TargetMode="External"/><Relationship Id="rId96" Type="http://schemas.openxmlformats.org/officeDocument/2006/relationships/hyperlink" Target="https://github.com/FinOpsPP/Framework-Assessment/tree/main/components/actions/042.md" TargetMode="External"/><Relationship Id="rId97" Type="http://schemas.openxmlformats.org/officeDocument/2006/relationships/hyperlink" Target="https://github.com/FinOpsPP/Framework-Assessment/tree/main/components/actions/030.md" TargetMode="External"/><Relationship Id="rId98" Type="http://schemas.openxmlformats.org/officeDocument/2006/relationships/hyperlink" Target="https://github.com/FinOpsPP/Framework-Assessment/tree/main/components/actions/031.md" TargetMode="External"/><Relationship Id="rId99" Type="http://schemas.openxmlformats.org/officeDocument/2006/relationships/hyperlink" Target="https://github.com/FinOpsPP/Framework-Assessment/tree/main/components/actions/032.md" TargetMode="External"/><Relationship Id="rId100" Type="http://schemas.openxmlformats.org/officeDocument/2006/relationships/hyperlink" Target="https://github.com/FinOpsPP/Framework-Assessment/tree/main/components/actions/033.md" TargetMode="External"/><Relationship Id="rId101" Type="http://schemas.openxmlformats.org/officeDocument/2006/relationships/hyperlink" Target="https://github.com/FinOpsPP/Framework-Assessment/tree/main/components/actions/034.md" TargetMode="External"/><Relationship Id="rId102" Type="http://schemas.openxmlformats.org/officeDocument/2006/relationships/hyperlink" Target="https://github.com/FinOpsPP/Framework-Assessment/tree/main/components/actions/035.md" TargetMode="External"/><Relationship Id="rId103" Type="http://schemas.openxmlformats.org/officeDocument/2006/relationships/hyperlink" Target="https://github.com/FinOpsPP/Framework-Assessment/tree/main/components/actions/036.md" TargetMode="External"/><Relationship Id="rId104" Type="http://schemas.openxmlformats.org/officeDocument/2006/relationships/hyperlink" Target="https://github.com/FinOpsPP/Framework-Assessment/tree/main/components/actions/055.md" TargetMode="External"/><Relationship Id="rId105" Type="http://schemas.openxmlformats.org/officeDocument/2006/relationships/hyperlink" Target="https://github.com/FinOpsPP/Framework-Assessment/tree/main/components/actions/056.md" TargetMode="External"/><Relationship Id="rId106" Type="http://schemas.openxmlformats.org/officeDocument/2006/relationships/hyperlink" Target="https://github.com/FinOpsPP/Framework-Assessment/tree/main/components/actions/057.md" TargetMode="External"/><Relationship Id="rId107" Type="http://schemas.openxmlformats.org/officeDocument/2006/relationships/hyperlink" Target="https://github.com/FinOpsPP/Framework-Assessment/tree/main/components/actions/058.md" TargetMode="External"/><Relationship Id="rId108" Type="http://schemas.openxmlformats.org/officeDocument/2006/relationships/hyperlink" Target="https://github.com/FinOpsPP/Framework-Assessment/tree/main/components/actions/059.md" TargetMode="External"/><Relationship Id="rId109" Type="http://schemas.openxmlformats.org/officeDocument/2006/relationships/hyperlink" Target="https://github.com/FinOpsPP/Framework-Assessment/tree/main/components/actions/060.md" TargetMode="External"/><Relationship Id="rId110" Type="http://schemas.openxmlformats.org/officeDocument/2006/relationships/hyperlink" Target="https://github.com/FinOpsPP/Framework-Assessment/tree/main/components/actions/009.md" TargetMode="External"/><Relationship Id="rId111" Type="http://schemas.openxmlformats.org/officeDocument/2006/relationships/hyperlink" Target="https://github.com/FinOpsPP/Framework-Assessment/tree/main/components/actions/010.md" TargetMode="External"/><Relationship Id="rId112" Type="http://schemas.openxmlformats.org/officeDocument/2006/relationships/hyperlink" Target="https://github.com/FinOpsPP/Framework-Assessment/tree/main/components/actions/011.md" TargetMode="External"/><Relationship Id="rId113" Type="http://schemas.openxmlformats.org/officeDocument/2006/relationships/hyperlink" Target="https://github.com/FinOpsPP/Framework-Assessment/tree/main/components/actions/012.md" TargetMode="External"/><Relationship Id="rId114" Type="http://schemas.openxmlformats.org/officeDocument/2006/relationships/hyperlink" Target="https://github.com/FinOpsPP/Framework-Assessment/tree/main/components/actions/013.md" TargetMode="External"/><Relationship Id="rId115" Type="http://schemas.openxmlformats.org/officeDocument/2006/relationships/hyperlink" Target="https://github.com/FinOpsPP/Framework-Assessment/tree/main/components/actions/014.md" TargetMode="External"/><Relationship Id="rId116" Type="http://schemas.openxmlformats.org/officeDocument/2006/relationships/hyperlink" Target="https://github.com/FinOpsPP/Framework-Assessment/tree/main/components/actions/015.md" TargetMode="External"/><Relationship Id="rId117" Type="http://schemas.openxmlformats.org/officeDocument/2006/relationships/hyperlink" Target="https://github.com/FinOpsPP/Framework-Assessment/tree/main/components/actions/023.md" TargetMode="External"/><Relationship Id="rId118" Type="http://schemas.openxmlformats.org/officeDocument/2006/relationships/hyperlink" Target="https://github.com/FinOpsPP/Framework-Assessment/tree/main/components/actions/024.md" TargetMode="External"/><Relationship Id="rId119" Type="http://schemas.openxmlformats.org/officeDocument/2006/relationships/hyperlink" Target="https://github.com/FinOpsPP/Framework-Assessment/tree/main/components/actions/025.md" TargetMode="External"/><Relationship Id="rId120" Type="http://schemas.openxmlformats.org/officeDocument/2006/relationships/hyperlink" Target="https://github.com/FinOpsPP/Framework-Assessment/tree/main/components/actions/026.md" TargetMode="External"/><Relationship Id="rId121" Type="http://schemas.openxmlformats.org/officeDocument/2006/relationships/hyperlink" Target="https://github.com/FinOpsPP/Framework-Assessment/tree/main/components/actions/027.md" TargetMode="External"/><Relationship Id="rId122" Type="http://schemas.openxmlformats.org/officeDocument/2006/relationships/hyperlink" Target="https://github.com/FinOpsPP/Framework-Assessment/tree/main/components/actions/028.md" TargetMode="External"/><Relationship Id="rId123" Type="http://schemas.openxmlformats.org/officeDocument/2006/relationships/hyperlink" Target="https://github.com/FinOpsPP/Framework-Assessment/tree/main/components/actions/029.md" TargetMode="External"/><Relationship Id="rId124" Type="http://schemas.openxmlformats.org/officeDocument/2006/relationships/hyperlink" Target="https://github.com/FinOpsPP/Framework-Assessment/tree/main/components/actions/001.md" TargetMode="External"/><Relationship Id="rId125" Type="http://schemas.openxmlformats.org/officeDocument/2006/relationships/hyperlink" Target="https://github.com/FinOpsPP/Framework-Assessment/tree/main/components/actions/002.md" TargetMode="External"/><Relationship Id="rId126" Type="http://schemas.openxmlformats.org/officeDocument/2006/relationships/hyperlink" Target="https://github.com/FinOpsPP/Framework-Assessment/tree/main/components/actions/003.md" TargetMode="External"/><Relationship Id="rId127" Type="http://schemas.openxmlformats.org/officeDocument/2006/relationships/hyperlink" Target="https://github.com/FinOpsPP/Framework-Assessment/tree/main/components/actions/004.md" TargetMode="External"/><Relationship Id="rId128" Type="http://schemas.openxmlformats.org/officeDocument/2006/relationships/hyperlink" Target="https://github.com/FinOpsPP/Framework-Assessment/tree/main/components/actions/135.md" TargetMode="External"/><Relationship Id="rId129" Type="http://schemas.openxmlformats.org/officeDocument/2006/relationships/hyperlink" Target="https://github.com/FinOpsPP/Framework-Assessment/tree/main/components/actions/005.md" TargetMode="External"/><Relationship Id="rId130" Type="http://schemas.openxmlformats.org/officeDocument/2006/relationships/hyperlink" Target="https://github.com/FinOpsPP/Framework-Assessment/tree/main/components/actions/006.md" TargetMode="External"/><Relationship Id="rId131" Type="http://schemas.openxmlformats.org/officeDocument/2006/relationships/hyperlink" Target="https://github.com/FinOpsPP/Framework-Assessment/tree/main/components/actions/007.md" TargetMode="External"/><Relationship Id="rId132" Type="http://schemas.openxmlformats.org/officeDocument/2006/relationships/hyperlink" Target="https://github.com/FinOpsPP/Framework-Assessment/tree/main/components/actions/008.md" TargetMode="External"/><Relationship Id="rId133" Type="http://schemas.openxmlformats.org/officeDocument/2006/relationships/hyperlink" Target="https://github.com/FinOpsPP/Framework-Assessment/tree/main/components/actions/016.md" TargetMode="External"/><Relationship Id="rId134" Type="http://schemas.openxmlformats.org/officeDocument/2006/relationships/hyperlink" Target="https://github.com/FinOpsPP/Framework-Assessment/tree/main/components/actions/017.md" TargetMode="External"/><Relationship Id="rId135" Type="http://schemas.openxmlformats.org/officeDocument/2006/relationships/hyperlink" Target="https://github.com/FinOpsPP/Framework-Assessment/tree/main/components/actions/018.md" TargetMode="External"/><Relationship Id="rId136" Type="http://schemas.openxmlformats.org/officeDocument/2006/relationships/hyperlink" Target="https://github.com/FinOpsPP/Framework-Assessment/tree/main/components/actions/019.md" TargetMode="External"/><Relationship Id="rId137" Type="http://schemas.openxmlformats.org/officeDocument/2006/relationships/hyperlink" Target="https://github.com/FinOpsPP/Framework-Assessment/tree/main/components/actions/020.md" TargetMode="External"/><Relationship Id="rId138" Type="http://schemas.openxmlformats.org/officeDocument/2006/relationships/hyperlink" Target="https://github.com/FinOpsPP/Framework-Assessment/tree/main/components/actions/021.md" TargetMode="External"/><Relationship Id="rId139" Type="http://schemas.openxmlformats.org/officeDocument/2006/relationships/hyperlink" Target="https://github.com/FinOpsPP/Framework-Assessment/tree/main/components/actions/022.md" TargetMode="External"/></Relationships>
</file>

<file path=xl/worksheets/sheet1.xml><?xml version="1.0" encoding="utf-8"?>
<worksheet xmlns="http://schemas.openxmlformats.org/spreadsheetml/2006/main" xmlns:r="http://schemas.openxmlformats.org/officeDocument/2006/relationships">
  <dimension ref="A1:U34"/>
  <sheetViews>
    <sheetView tabSelected="1" workbookViewId="0"/>
  </sheetViews>
  <sheetFormatPr defaultRowHeight="15" zeroHeight="1"/>
  <cols>
    <col min="1" max="1" width="32.42578125" bestFit="1" customWidth="1"/>
    <col min="2" max="2" width="23" bestFit="1" customWidth="1"/>
    <col min="3" max="3" width="32.42578125" bestFit="1" customWidth="1"/>
    <col min="4" max="4" width="29.7109375" bestFit="1" customWidth="1"/>
    <col min="6" max="16384" width="0" hidden="1" customWidth="1"/>
  </cols>
  <sheetData>
    <row r="1" spans="1:21">
      <c r="A1" t="s">
        <v>0</v>
      </c>
      <c r="B1" t="s">
        <v>1</v>
      </c>
      <c r="C1" t="s">
        <v>2</v>
      </c>
      <c r="D1" t="s">
        <v>3</v>
      </c>
    </row>
    <row r="2" spans="1:21">
      <c r="A2">
        <f>SUM(Scoring!F2:F140)</f>
        <v>0</v>
      </c>
      <c r="B2">
        <v>10</v>
      </c>
      <c r="C2">
        <f>SUM(Scoring!I2:I140)/A2</f>
        <v>0</v>
      </c>
      <c r="D2">
        <f>B2-C2</f>
        <v>0</v>
      </c>
    </row>
    <row r="3" spans="1:21"/>
    <row r="4" spans="1:21">
      <c r="A4" t="s">
        <v>4</v>
      </c>
      <c r="B4" t="s">
        <v>5</v>
      </c>
    </row>
    <row r="5" spans="1:21">
      <c r="A5" t="s">
        <v>6</v>
      </c>
      <c r="B5">
        <v>42</v>
      </c>
      <c r="U5">
        <f>SUMIF(Scoring!J2:J140,A5,Scoring!I2:I140)/SUMIF(Scoring!J2:J140,A5,Scoring!F2:F140)</f>
        <v>0</v>
      </c>
    </row>
    <row r="6" spans="1:21">
      <c r="A6" t="s">
        <v>7</v>
      </c>
      <c r="B6">
        <v>36</v>
      </c>
      <c r="U6">
        <f>SUMIF(Scoring!J2:J140,A6,Scoring!I2:I140)/SUMIF(Scoring!J2:J140,A6,Scoring!F2:F140)</f>
        <v>0</v>
      </c>
    </row>
    <row r="7" spans="1:21">
      <c r="A7" t="s">
        <v>8</v>
      </c>
      <c r="B7">
        <v>31</v>
      </c>
      <c r="U7">
        <f>SUMIF(Scoring!J2:J140,A7,Scoring!I2:I140)/SUMIF(Scoring!J2:J140,A7,Scoring!F2:F140)</f>
        <v>0</v>
      </c>
    </row>
    <row r="8" spans="1:21">
      <c r="A8" t="s">
        <v>9</v>
      </c>
      <c r="B8">
        <v>30</v>
      </c>
      <c r="U8">
        <f>SUMIF(Scoring!J2:J140,A8,Scoring!I2:I140)/SUMIF(Scoring!J2:J140,A8,Scoring!F2:F140)</f>
        <v>0</v>
      </c>
    </row>
    <row r="9" spans="1:21">
      <c r="B9">
        <f>SUM(Overview!$B$5:$B$8)</f>
        <v>0</v>
      </c>
    </row>
    <row r="10" spans="1:21"/>
    <row r="11" spans="1:21">
      <c r="A11" t="s">
        <v>10</v>
      </c>
      <c r="B11" t="s">
        <v>5</v>
      </c>
    </row>
    <row r="12" spans="1:21">
      <c r="A12" t="s">
        <v>11</v>
      </c>
      <c r="B12">
        <v>7</v>
      </c>
      <c r="U12">
        <f>SUMIF(Scoring!K2:K140,A12,Scoring!I2:I140)/SUMIF(Scoring!K2:K140,A12,Scoring!F2:F140)</f>
        <v>0</v>
      </c>
    </row>
    <row r="13" spans="1:21">
      <c r="A13" t="s">
        <v>12</v>
      </c>
      <c r="B13">
        <v>7</v>
      </c>
      <c r="U13">
        <f>SUMIF(Scoring!K2:K140,A13,Scoring!I2:I140)/SUMIF(Scoring!K2:K140,A13,Scoring!F2:F140)</f>
        <v>0</v>
      </c>
    </row>
    <row r="14" spans="1:21">
      <c r="A14" t="s">
        <v>13</v>
      </c>
      <c r="B14">
        <v>12</v>
      </c>
      <c r="U14">
        <f>SUMIF(Scoring!K2:K140,A14,Scoring!I2:I140)/SUMIF(Scoring!K2:K140,A14,Scoring!F2:F140)</f>
        <v>0</v>
      </c>
    </row>
    <row r="15" spans="1:21">
      <c r="A15" t="s">
        <v>14</v>
      </c>
      <c r="B15">
        <v>5</v>
      </c>
      <c r="U15">
        <f>SUMIF(Scoring!K2:K140,A15,Scoring!I2:I140)/SUMIF(Scoring!K2:K140,A15,Scoring!F2:F140)</f>
        <v>0</v>
      </c>
    </row>
    <row r="16" spans="1:21">
      <c r="A16" t="s">
        <v>15</v>
      </c>
      <c r="B16">
        <v>6</v>
      </c>
      <c r="U16">
        <f>SUMIF(Scoring!K2:K140,A16,Scoring!I2:I140)/SUMIF(Scoring!K2:K140,A16,Scoring!F2:F140)</f>
        <v>0</v>
      </c>
    </row>
    <row r="17" spans="1:21">
      <c r="A17" t="s">
        <v>16</v>
      </c>
      <c r="B17">
        <v>9</v>
      </c>
      <c r="U17">
        <f>SUMIF(Scoring!K2:K140,A17,Scoring!I2:I140)/SUMIF(Scoring!K2:K140,A17,Scoring!F2:F140)</f>
        <v>0</v>
      </c>
    </row>
    <row r="18" spans="1:21">
      <c r="A18" t="s">
        <v>17</v>
      </c>
      <c r="B18">
        <v>4</v>
      </c>
      <c r="U18">
        <f>SUMIF(Scoring!K2:K140,A18,Scoring!I2:I140)/SUMIF(Scoring!K2:K140,A18,Scoring!F2:F140)</f>
        <v>0</v>
      </c>
    </row>
    <row r="19" spans="1:21">
      <c r="A19" t="s">
        <v>18</v>
      </c>
      <c r="B19">
        <v>5</v>
      </c>
      <c r="U19">
        <f>SUMIF(Scoring!K2:K140,A19,Scoring!I2:I140)/SUMIF(Scoring!K2:K140,A19,Scoring!F2:F140)</f>
        <v>0</v>
      </c>
    </row>
    <row r="20" spans="1:21">
      <c r="A20" t="s">
        <v>19</v>
      </c>
      <c r="B20">
        <v>5</v>
      </c>
      <c r="U20">
        <f>SUMIF(Scoring!K2:K140,A20,Scoring!I2:I140)/SUMIF(Scoring!K2:K140,A20,Scoring!F2:F140)</f>
        <v>0</v>
      </c>
    </row>
    <row r="21" spans="1:21">
      <c r="A21" t="s">
        <v>20</v>
      </c>
      <c r="B21">
        <v>6</v>
      </c>
      <c r="U21">
        <f>SUMIF(Scoring!K2:K140,A21,Scoring!I2:I140)/SUMIF(Scoring!K2:K140,A21,Scoring!F2:F140)</f>
        <v>0</v>
      </c>
    </row>
    <row r="22" spans="1:21">
      <c r="A22" t="s">
        <v>21</v>
      </c>
      <c r="B22">
        <v>6</v>
      </c>
      <c r="U22">
        <f>SUMIF(Scoring!K2:K140,A22,Scoring!I2:I140)/SUMIF(Scoring!K2:K140,A22,Scoring!F2:F140)</f>
        <v>0</v>
      </c>
    </row>
    <row r="23" spans="1:21">
      <c r="A23" t="s">
        <v>22</v>
      </c>
      <c r="B23">
        <v>5</v>
      </c>
      <c r="U23">
        <f>SUMIF(Scoring!K2:K140,A23,Scoring!I2:I140)/SUMIF(Scoring!K2:K140,A23,Scoring!F2:F140)</f>
        <v>0</v>
      </c>
    </row>
    <row r="24" spans="1:21">
      <c r="A24" t="s">
        <v>23</v>
      </c>
      <c r="B24">
        <v>6</v>
      </c>
      <c r="U24">
        <f>SUMIF(Scoring!K2:K140,A24,Scoring!I2:I140)/SUMIF(Scoring!K2:K140,A24,Scoring!F2:F140)</f>
        <v>0</v>
      </c>
    </row>
    <row r="25" spans="1:21">
      <c r="A25" t="s">
        <v>24</v>
      </c>
      <c r="B25">
        <v>6</v>
      </c>
      <c r="U25">
        <f>SUMIF(Scoring!K2:K140,A25,Scoring!I2:I140)/SUMIF(Scoring!K2:K140,A25,Scoring!F2:F140)</f>
        <v>0</v>
      </c>
    </row>
    <row r="26" spans="1:21">
      <c r="A26" t="s">
        <v>25</v>
      </c>
      <c r="B26">
        <v>6</v>
      </c>
      <c r="U26">
        <f>SUMIF(Scoring!K2:K140,A26,Scoring!I2:I140)/SUMIF(Scoring!K2:K140,A26,Scoring!F2:F140)</f>
        <v>0</v>
      </c>
    </row>
    <row r="27" spans="1:21">
      <c r="A27" t="s">
        <v>26</v>
      </c>
      <c r="B27">
        <v>6</v>
      </c>
      <c r="U27">
        <f>SUMIF(Scoring!K2:K140,A27,Scoring!I2:I140)/SUMIF(Scoring!K2:K140,A27,Scoring!F2:F140)</f>
        <v>0</v>
      </c>
    </row>
    <row r="28" spans="1:21">
      <c r="A28" t="s">
        <v>27</v>
      </c>
      <c r="B28">
        <v>7</v>
      </c>
      <c r="U28">
        <f>SUMIF(Scoring!K2:K140,A28,Scoring!I2:I140)/SUMIF(Scoring!K2:K140,A28,Scoring!F2:F140)</f>
        <v>0</v>
      </c>
    </row>
    <row r="29" spans="1:21">
      <c r="A29" t="s">
        <v>28</v>
      </c>
      <c r="B29">
        <v>6</v>
      </c>
      <c r="U29">
        <f>SUMIF(Scoring!K2:K140,A29,Scoring!I2:I140)/SUMIF(Scoring!K2:K140,A29,Scoring!F2:F140)</f>
        <v>0</v>
      </c>
    </row>
    <row r="30" spans="1:21">
      <c r="A30" t="s">
        <v>29</v>
      </c>
      <c r="B30">
        <v>7</v>
      </c>
      <c r="U30">
        <f>SUMIF(Scoring!K2:K140,A30,Scoring!I2:I140)/SUMIF(Scoring!K2:K140,A30,Scoring!F2:F140)</f>
        <v>0</v>
      </c>
    </row>
    <row r="31" spans="1:21">
      <c r="A31" t="s">
        <v>30</v>
      </c>
      <c r="B31">
        <v>6</v>
      </c>
      <c r="U31">
        <f>SUMIF(Scoring!K2:K140,A31,Scoring!I2:I140)/SUMIF(Scoring!K2:K140,A31,Scoring!F2:F140)</f>
        <v>0</v>
      </c>
    </row>
    <row r="32" spans="1:21">
      <c r="A32" t="s">
        <v>31</v>
      </c>
      <c r="B32">
        <v>6</v>
      </c>
      <c r="U32">
        <f>SUMIF(Scoring!K2:K140,A32,Scoring!I2:I140)/SUMIF(Scoring!K2:K140,A32,Scoring!F2:F140)</f>
        <v>0</v>
      </c>
    </row>
    <row r="33" spans="1:21">
      <c r="A33" t="s">
        <v>32</v>
      </c>
      <c r="B33">
        <v>6</v>
      </c>
      <c r="U33">
        <f>SUMIF(Scoring!K2:K140,A33,Scoring!I2:I140)/SUMIF(Scoring!K2:K140,A33,Scoring!F2:F140)</f>
        <v>0</v>
      </c>
    </row>
    <row r="34" spans="1:21">
      <c r="B34">
        <f>SUM(Overview!$B$12:$B$33)</f>
        <v>0</v>
      </c>
    </row>
  </sheetData>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dimension ref="A1:K140"/>
  <sheetViews>
    <sheetView workbookViewId="0"/>
  </sheetViews>
  <sheetFormatPr defaultRowHeight="15" zeroHeight="1"/>
  <cols>
    <col min="1" max="1" width="25.42578125" bestFit="1" customWidth="1"/>
    <col min="2" max="2" width="32.42578125" bestFit="1" customWidth="1"/>
    <col min="3" max="3" width="42.5703125" bestFit="1" customWidth="1"/>
    <col min="4" max="4" width="13.28515625" bestFit="1" customWidth="1"/>
    <col min="5" max="5" width="7.5703125" bestFit="1" customWidth="1"/>
    <col min="6" max="6" width="8" bestFit="1" customWidth="1"/>
    <col min="7" max="8" width="40.7109375" style="1" customWidth="1"/>
    <col min="9" max="9" width="14.5703125" bestFit="1" customWidth="1"/>
    <col min="10" max="10" width="25.42578125" hidden="1" bestFit="1" customWidth="1"/>
    <col min="11" max="11" width="32.42578125" hidden="1" bestFit="1" customWidth="1"/>
    <col min="12" max="16384" width="0" hidden="1" customWidth="1"/>
  </cols>
  <sheetData>
    <row r="1" spans="1:11">
      <c r="A1" s="2" t="s">
        <v>41</v>
      </c>
      <c r="B1" s="2" t="s">
        <v>42</v>
      </c>
      <c r="C1" s="2" t="s">
        <v>43</v>
      </c>
      <c r="D1" s="2" t="s">
        <v>33</v>
      </c>
      <c r="E1" s="2" t="s">
        <v>34</v>
      </c>
      <c r="F1" s="2" t="s">
        <v>35</v>
      </c>
      <c r="G1" s="2" t="s">
        <v>36</v>
      </c>
      <c r="H1" s="2" t="s">
        <v>37</v>
      </c>
      <c r="I1" s="2" t="s">
        <v>38</v>
      </c>
      <c r="J1" s="2" t="s">
        <v>39</v>
      </c>
      <c r="K1" s="2" t="s">
        <v>40</v>
      </c>
    </row>
    <row r="2" spans="1:11">
      <c r="A2" s="2" t="s">
        <v>6</v>
      </c>
      <c r="B2" s="2" t="s">
        <v>22</v>
      </c>
      <c r="C2" s="2" t="s">
        <v>44</v>
      </c>
      <c r="D2" s="3" t="s">
        <v>183</v>
      </c>
      <c r="E2" t="s">
        <v>322</v>
      </c>
      <c r="F2">
        <v>1</v>
      </c>
      <c r="G2" s="1" t="s">
        <v>329</v>
      </c>
      <c r="H2" s="1" t="s">
        <v>451</v>
      </c>
      <c r="I2">
        <f>F2*VALUE(LEFT(H2, FIND(":", H2)-1))</f>
        <v>0</v>
      </c>
      <c r="J2" t="s">
        <v>6</v>
      </c>
      <c r="K2" t="s">
        <v>22</v>
      </c>
    </row>
    <row r="3" spans="1:11">
      <c r="A3" s="2"/>
      <c r="B3" s="2"/>
      <c r="C3" s="2" t="s">
        <v>45</v>
      </c>
      <c r="D3" s="3" t="s">
        <v>184</v>
      </c>
      <c r="E3" t="s">
        <v>322</v>
      </c>
      <c r="F3">
        <v>1</v>
      </c>
      <c r="G3" s="1" t="s">
        <v>330</v>
      </c>
      <c r="H3" s="1" t="s">
        <v>452</v>
      </c>
      <c r="I3">
        <f>F3*VALUE(LEFT(H3, FIND(":", H3)-1))</f>
        <v>0</v>
      </c>
      <c r="J3" t="s">
        <v>6</v>
      </c>
      <c r="K3" t="s">
        <v>22</v>
      </c>
    </row>
    <row r="4" spans="1:11">
      <c r="A4" s="2"/>
      <c r="B4" s="2"/>
      <c r="C4" s="2" t="s">
        <v>46</v>
      </c>
      <c r="D4" s="3" t="s">
        <v>185</v>
      </c>
      <c r="E4" t="s">
        <v>322</v>
      </c>
      <c r="F4">
        <v>1</v>
      </c>
      <c r="G4" s="1" t="s">
        <v>331</v>
      </c>
      <c r="H4" s="1" t="s">
        <v>451</v>
      </c>
      <c r="I4">
        <f>F4*VALUE(LEFT(H4, FIND(":", H4)-1))</f>
        <v>0</v>
      </c>
      <c r="J4" t="s">
        <v>6</v>
      </c>
      <c r="K4" t="s">
        <v>22</v>
      </c>
    </row>
    <row r="5" spans="1:11">
      <c r="A5" s="2"/>
      <c r="B5" s="2"/>
      <c r="C5" s="2" t="s">
        <v>47</v>
      </c>
      <c r="D5" s="3" t="s">
        <v>186</v>
      </c>
      <c r="E5" t="s">
        <v>322</v>
      </c>
      <c r="F5">
        <v>1</v>
      </c>
      <c r="G5" s="1" t="s">
        <v>332</v>
      </c>
      <c r="H5" s="1" t="s">
        <v>453</v>
      </c>
      <c r="I5">
        <f>F5*VALUE(LEFT(H5, FIND(":", H5)-1))</f>
        <v>0</v>
      </c>
      <c r="J5" t="s">
        <v>6</v>
      </c>
      <c r="K5" t="s">
        <v>22</v>
      </c>
    </row>
    <row r="6" spans="1:11">
      <c r="A6" s="2"/>
      <c r="B6" s="2"/>
      <c r="C6" s="2" t="s">
        <v>48</v>
      </c>
      <c r="D6" s="3" t="s">
        <v>187</v>
      </c>
      <c r="E6" t="s">
        <v>322</v>
      </c>
      <c r="F6">
        <v>1</v>
      </c>
      <c r="G6" s="1" t="s">
        <v>333</v>
      </c>
      <c r="H6" s="1" t="s">
        <v>451</v>
      </c>
      <c r="I6">
        <f>F6*VALUE(LEFT(H6, FIND(":", H6)-1))</f>
        <v>0</v>
      </c>
      <c r="J6" t="s">
        <v>6</v>
      </c>
      <c r="K6" t="s">
        <v>22</v>
      </c>
    </row>
    <row r="7" spans="1:11">
      <c r="A7" s="2"/>
      <c r="B7" s="2" t="s">
        <v>18</v>
      </c>
      <c r="C7" s="2" t="s">
        <v>49</v>
      </c>
      <c r="D7" s="3" t="s">
        <v>188</v>
      </c>
      <c r="E7" t="s">
        <v>323</v>
      </c>
      <c r="F7">
        <v>1</v>
      </c>
      <c r="G7" s="1" t="s">
        <v>334</v>
      </c>
      <c r="H7" s="1" t="s">
        <v>454</v>
      </c>
      <c r="I7">
        <f>F7*VALUE(LEFT(H7, FIND(":", H7)-1))</f>
        <v>0</v>
      </c>
      <c r="J7" t="s">
        <v>6</v>
      </c>
      <c r="K7" t="s">
        <v>18</v>
      </c>
    </row>
    <row r="8" spans="1:11">
      <c r="A8" s="2"/>
      <c r="B8" s="2"/>
      <c r="C8" s="2" t="s">
        <v>50</v>
      </c>
      <c r="D8" s="3" t="s">
        <v>189</v>
      </c>
      <c r="E8" t="s">
        <v>323</v>
      </c>
      <c r="F8">
        <v>1</v>
      </c>
      <c r="G8" s="1" t="s">
        <v>335</v>
      </c>
      <c r="H8" s="1" t="s">
        <v>451</v>
      </c>
      <c r="I8">
        <f>F8*VALUE(LEFT(H8, FIND(":", H8)-1))</f>
        <v>0</v>
      </c>
      <c r="J8" t="s">
        <v>6</v>
      </c>
      <c r="K8" t="s">
        <v>18</v>
      </c>
    </row>
    <row r="9" spans="1:11">
      <c r="A9" s="2"/>
      <c r="B9" s="2"/>
      <c r="C9" s="2" t="s">
        <v>51</v>
      </c>
      <c r="D9" s="3" t="s">
        <v>190</v>
      </c>
      <c r="E9" t="s">
        <v>323</v>
      </c>
      <c r="F9">
        <v>1</v>
      </c>
      <c r="G9" s="1" t="s">
        <v>336</v>
      </c>
      <c r="H9" s="1" t="s">
        <v>451</v>
      </c>
      <c r="I9">
        <f>F9*VALUE(LEFT(H9, FIND(":", H9)-1))</f>
        <v>0</v>
      </c>
      <c r="J9" t="s">
        <v>6</v>
      </c>
      <c r="K9" t="s">
        <v>18</v>
      </c>
    </row>
    <row r="10" spans="1:11">
      <c r="A10" s="2"/>
      <c r="B10" s="2"/>
      <c r="C10" s="2" t="s">
        <v>52</v>
      </c>
      <c r="D10" s="3" t="s">
        <v>191</v>
      </c>
      <c r="E10" t="s">
        <v>323</v>
      </c>
      <c r="F10">
        <v>1</v>
      </c>
      <c r="G10" s="1" t="s">
        <v>337</v>
      </c>
      <c r="H10" s="1" t="s">
        <v>451</v>
      </c>
      <c r="I10">
        <f>F10*VALUE(LEFT(H10, FIND(":", H10)-1))</f>
        <v>0</v>
      </c>
      <c r="J10" t="s">
        <v>6</v>
      </c>
      <c r="K10" t="s">
        <v>18</v>
      </c>
    </row>
    <row r="11" spans="1:11">
      <c r="A11" s="2"/>
      <c r="B11" s="2"/>
      <c r="C11" s="2" t="s">
        <v>53</v>
      </c>
      <c r="D11" s="3" t="s">
        <v>192</v>
      </c>
      <c r="E11" t="s">
        <v>324</v>
      </c>
      <c r="F11">
        <v>1</v>
      </c>
      <c r="G11" s="1" t="s">
        <v>338</v>
      </c>
      <c r="H11" s="1" t="s">
        <v>451</v>
      </c>
      <c r="I11">
        <f>F11*VALUE(LEFT(H11, FIND(":", H11)-1))</f>
        <v>0</v>
      </c>
      <c r="J11" t="s">
        <v>6</v>
      </c>
      <c r="K11" t="s">
        <v>18</v>
      </c>
    </row>
    <row r="12" spans="1:11">
      <c r="A12" s="2"/>
      <c r="B12" s="2" t="s">
        <v>19</v>
      </c>
      <c r="C12" s="2" t="s">
        <v>54</v>
      </c>
      <c r="D12" s="3" t="s">
        <v>193</v>
      </c>
      <c r="E12" t="s">
        <v>322</v>
      </c>
      <c r="F12">
        <v>1</v>
      </c>
      <c r="G12" s="1" t="s">
        <v>339</v>
      </c>
      <c r="H12" s="1" t="s">
        <v>451</v>
      </c>
      <c r="I12">
        <f>F12*VALUE(LEFT(H12, FIND(":", H12)-1))</f>
        <v>0</v>
      </c>
      <c r="J12" t="s">
        <v>6</v>
      </c>
      <c r="K12" t="s">
        <v>19</v>
      </c>
    </row>
    <row r="13" spans="1:11">
      <c r="A13" s="2"/>
      <c r="B13" s="2"/>
      <c r="C13" s="2" t="s">
        <v>55</v>
      </c>
      <c r="D13" s="3" t="s">
        <v>194</v>
      </c>
      <c r="E13" t="s">
        <v>322</v>
      </c>
      <c r="F13">
        <v>1</v>
      </c>
      <c r="G13" s="1" t="s">
        <v>340</v>
      </c>
      <c r="H13" s="1" t="s">
        <v>451</v>
      </c>
      <c r="I13">
        <f>F13*VALUE(LEFT(H13, FIND(":", H13)-1))</f>
        <v>0</v>
      </c>
      <c r="J13" t="s">
        <v>6</v>
      </c>
      <c r="K13" t="s">
        <v>19</v>
      </c>
    </row>
    <row r="14" spans="1:11">
      <c r="A14" s="2"/>
      <c r="B14" s="2"/>
      <c r="C14" s="2" t="s">
        <v>56</v>
      </c>
      <c r="D14" s="3" t="s">
        <v>195</v>
      </c>
      <c r="E14" t="s">
        <v>322</v>
      </c>
      <c r="F14">
        <v>1</v>
      </c>
      <c r="G14" s="1" t="s">
        <v>341</v>
      </c>
      <c r="H14" s="1" t="s">
        <v>451</v>
      </c>
      <c r="I14">
        <f>F14*VALUE(LEFT(H14, FIND(":", H14)-1))</f>
        <v>0</v>
      </c>
      <c r="J14" t="s">
        <v>6</v>
      </c>
      <c r="K14" t="s">
        <v>19</v>
      </c>
    </row>
    <row r="15" spans="1:11">
      <c r="A15" s="2"/>
      <c r="B15" s="2"/>
      <c r="C15" s="2" t="s">
        <v>57</v>
      </c>
      <c r="D15" s="3" t="s">
        <v>196</v>
      </c>
      <c r="E15" t="s">
        <v>322</v>
      </c>
      <c r="F15">
        <v>1</v>
      </c>
      <c r="G15" s="1" t="s">
        <v>342</v>
      </c>
      <c r="H15" s="1" t="s">
        <v>451</v>
      </c>
      <c r="I15">
        <f>F15*VALUE(LEFT(H15, FIND(":", H15)-1))</f>
        <v>0</v>
      </c>
      <c r="J15" t="s">
        <v>6</v>
      </c>
      <c r="K15" t="s">
        <v>19</v>
      </c>
    </row>
    <row r="16" spans="1:11">
      <c r="A16" s="2"/>
      <c r="B16" s="2"/>
      <c r="C16" s="2" t="s">
        <v>58</v>
      </c>
      <c r="D16" s="3" t="s">
        <v>197</v>
      </c>
      <c r="E16" t="s">
        <v>322</v>
      </c>
      <c r="F16">
        <v>1</v>
      </c>
      <c r="G16" s="1" t="s">
        <v>343</v>
      </c>
      <c r="H16" s="1" t="s">
        <v>451</v>
      </c>
      <c r="I16">
        <f>F16*VALUE(LEFT(H16, FIND(":", H16)-1))</f>
        <v>0</v>
      </c>
      <c r="J16" t="s">
        <v>6</v>
      </c>
      <c r="K16" t="s">
        <v>19</v>
      </c>
    </row>
    <row r="17" spans="1:11">
      <c r="A17" s="2"/>
      <c r="B17" s="2" t="s">
        <v>20</v>
      </c>
      <c r="C17" s="2" t="s">
        <v>59</v>
      </c>
      <c r="D17" s="3" t="s">
        <v>198</v>
      </c>
      <c r="E17" t="s">
        <v>322</v>
      </c>
      <c r="F17">
        <v>1</v>
      </c>
      <c r="G17" s="1" t="s">
        <v>344</v>
      </c>
      <c r="H17" s="1" t="s">
        <v>451</v>
      </c>
      <c r="I17">
        <f>F17*VALUE(LEFT(H17, FIND(":", H17)-1))</f>
        <v>0</v>
      </c>
      <c r="J17" t="s">
        <v>6</v>
      </c>
      <c r="K17" t="s">
        <v>20</v>
      </c>
    </row>
    <row r="18" spans="1:11">
      <c r="A18" s="2"/>
      <c r="B18" s="2"/>
      <c r="C18" s="2" t="s">
        <v>60</v>
      </c>
      <c r="D18" s="3" t="s">
        <v>199</v>
      </c>
      <c r="E18" t="s">
        <v>322</v>
      </c>
      <c r="F18">
        <v>1</v>
      </c>
      <c r="G18" s="1" t="s">
        <v>345</v>
      </c>
      <c r="H18" s="1" t="s">
        <v>451</v>
      </c>
      <c r="I18">
        <f>F18*VALUE(LEFT(H18, FIND(":", H18)-1))</f>
        <v>0</v>
      </c>
      <c r="J18" t="s">
        <v>6</v>
      </c>
      <c r="K18" t="s">
        <v>20</v>
      </c>
    </row>
    <row r="19" spans="1:11">
      <c r="A19" s="2"/>
      <c r="B19" s="2"/>
      <c r="C19" s="2" t="s">
        <v>61</v>
      </c>
      <c r="D19" s="3" t="s">
        <v>200</v>
      </c>
      <c r="E19" t="s">
        <v>322</v>
      </c>
      <c r="F19">
        <v>1</v>
      </c>
      <c r="G19" s="1" t="s">
        <v>346</v>
      </c>
      <c r="H19" s="1" t="s">
        <v>451</v>
      </c>
      <c r="I19">
        <f>F19*VALUE(LEFT(H19, FIND(":", H19)-1))</f>
        <v>0</v>
      </c>
      <c r="J19" t="s">
        <v>6</v>
      </c>
      <c r="K19" t="s">
        <v>20</v>
      </c>
    </row>
    <row r="20" spans="1:11">
      <c r="A20" s="2"/>
      <c r="B20" s="2"/>
      <c r="C20" s="2" t="s">
        <v>62</v>
      </c>
      <c r="D20" s="3" t="s">
        <v>201</v>
      </c>
      <c r="E20" t="s">
        <v>322</v>
      </c>
      <c r="F20">
        <v>1</v>
      </c>
      <c r="G20" s="1" t="s">
        <v>347</v>
      </c>
      <c r="H20" s="1" t="s">
        <v>451</v>
      </c>
      <c r="I20">
        <f>F20*VALUE(LEFT(H20, FIND(":", H20)-1))</f>
        <v>0</v>
      </c>
      <c r="J20" t="s">
        <v>6</v>
      </c>
      <c r="K20" t="s">
        <v>20</v>
      </c>
    </row>
    <row r="21" spans="1:11">
      <c r="A21" s="2"/>
      <c r="B21" s="2"/>
      <c r="C21" s="2" t="s">
        <v>63</v>
      </c>
      <c r="D21" s="3" t="s">
        <v>202</v>
      </c>
      <c r="E21" t="s">
        <v>322</v>
      </c>
      <c r="F21">
        <v>1</v>
      </c>
      <c r="G21" s="1" t="s">
        <v>348</v>
      </c>
      <c r="H21" s="1" t="s">
        <v>451</v>
      </c>
      <c r="I21">
        <f>F21*VALUE(LEFT(H21, FIND(":", H21)-1))</f>
        <v>0</v>
      </c>
      <c r="J21" t="s">
        <v>6</v>
      </c>
      <c r="K21" t="s">
        <v>20</v>
      </c>
    </row>
    <row r="22" spans="1:11">
      <c r="A22" s="2"/>
      <c r="B22" s="2"/>
      <c r="C22" s="2" t="s">
        <v>64</v>
      </c>
      <c r="D22" s="3" t="s">
        <v>203</v>
      </c>
      <c r="E22" t="s">
        <v>322</v>
      </c>
      <c r="F22">
        <v>1</v>
      </c>
      <c r="G22" s="1" t="s">
        <v>349</v>
      </c>
      <c r="H22" s="1" t="s">
        <v>451</v>
      </c>
      <c r="I22">
        <f>F22*VALUE(LEFT(H22, FIND(":", H22)-1))</f>
        <v>0</v>
      </c>
      <c r="J22" t="s">
        <v>6</v>
      </c>
      <c r="K22" t="s">
        <v>20</v>
      </c>
    </row>
    <row r="23" spans="1:11">
      <c r="A23" s="2"/>
      <c r="B23" s="2" t="s">
        <v>14</v>
      </c>
      <c r="C23" s="2" t="s">
        <v>65</v>
      </c>
      <c r="D23" s="3" t="s">
        <v>204</v>
      </c>
      <c r="E23" t="s">
        <v>324</v>
      </c>
      <c r="F23">
        <v>1</v>
      </c>
      <c r="G23" s="1" t="s">
        <v>350</v>
      </c>
      <c r="H23" s="1" t="s">
        <v>455</v>
      </c>
      <c r="I23">
        <f>F23*VALUE(LEFT(H23, FIND(":", H23)-1))</f>
        <v>0</v>
      </c>
      <c r="J23" t="s">
        <v>6</v>
      </c>
      <c r="K23" t="s">
        <v>14</v>
      </c>
    </row>
    <row r="24" spans="1:11">
      <c r="A24" s="2"/>
      <c r="B24" s="2"/>
      <c r="C24" s="2" t="s">
        <v>66</v>
      </c>
      <c r="D24" s="3" t="s">
        <v>205</v>
      </c>
      <c r="E24" t="s">
        <v>325</v>
      </c>
      <c r="F24">
        <v>1</v>
      </c>
      <c r="G24" s="1" t="s">
        <v>351</v>
      </c>
      <c r="H24" s="1" t="s">
        <v>456</v>
      </c>
      <c r="I24">
        <f>F24*VALUE(LEFT(H24, FIND(":", H24)-1))</f>
        <v>0</v>
      </c>
      <c r="J24" t="s">
        <v>6</v>
      </c>
      <c r="K24" t="s">
        <v>14</v>
      </c>
    </row>
    <row r="25" spans="1:11">
      <c r="A25" s="2"/>
      <c r="B25" s="2"/>
      <c r="C25" s="2" t="s">
        <v>67</v>
      </c>
      <c r="D25" s="3" t="s">
        <v>206</v>
      </c>
      <c r="E25" t="s">
        <v>323</v>
      </c>
      <c r="F25">
        <v>1</v>
      </c>
      <c r="G25" s="1" t="s">
        <v>352</v>
      </c>
      <c r="H25" s="1" t="s">
        <v>457</v>
      </c>
      <c r="I25">
        <f>F25*VALUE(LEFT(H25, FIND(":", H25)-1))</f>
        <v>0</v>
      </c>
      <c r="J25" t="s">
        <v>6</v>
      </c>
      <c r="K25" t="s">
        <v>14</v>
      </c>
    </row>
    <row r="26" spans="1:11">
      <c r="A26" s="2"/>
      <c r="B26" s="2"/>
      <c r="C26" s="2" t="s">
        <v>68</v>
      </c>
      <c r="D26" s="3" t="s">
        <v>207</v>
      </c>
      <c r="E26" t="s">
        <v>326</v>
      </c>
      <c r="F26">
        <v>1</v>
      </c>
      <c r="G26" s="1" t="s">
        <v>353</v>
      </c>
      <c r="H26" s="1" t="s">
        <v>451</v>
      </c>
      <c r="I26">
        <f>F26*VALUE(LEFT(H26, FIND(":", H26)-1))</f>
        <v>0</v>
      </c>
      <c r="J26" t="s">
        <v>6</v>
      </c>
      <c r="K26" t="s">
        <v>14</v>
      </c>
    </row>
    <row r="27" spans="1:11">
      <c r="A27" s="2"/>
      <c r="B27" s="2"/>
      <c r="C27" s="2" t="s">
        <v>69</v>
      </c>
      <c r="D27" s="3" t="s">
        <v>208</v>
      </c>
      <c r="E27" t="s">
        <v>324</v>
      </c>
      <c r="F27">
        <v>1</v>
      </c>
      <c r="H27" s="1" t="s">
        <v>458</v>
      </c>
      <c r="I27">
        <f>F27*VALUE(LEFT(H27, FIND(":", H27)-1))</f>
        <v>0</v>
      </c>
      <c r="J27" t="s">
        <v>6</v>
      </c>
      <c r="K27" t="s">
        <v>14</v>
      </c>
    </row>
    <row r="28" spans="1:11">
      <c r="A28" s="2"/>
      <c r="B28" s="2" t="s">
        <v>23</v>
      </c>
      <c r="C28" s="2" t="s">
        <v>70</v>
      </c>
      <c r="D28" s="3" t="s">
        <v>209</v>
      </c>
      <c r="E28" t="s">
        <v>323</v>
      </c>
      <c r="F28">
        <v>1</v>
      </c>
      <c r="G28" s="1" t="s">
        <v>354</v>
      </c>
      <c r="H28" s="1" t="s">
        <v>451</v>
      </c>
      <c r="I28">
        <f>F28*VALUE(LEFT(H28, FIND(":", H28)-1))</f>
        <v>0</v>
      </c>
      <c r="J28" t="s">
        <v>6</v>
      </c>
      <c r="K28" t="s">
        <v>23</v>
      </c>
    </row>
    <row r="29" spans="1:11">
      <c r="A29" s="2"/>
      <c r="B29" s="2"/>
      <c r="C29" s="2" t="s">
        <v>71</v>
      </c>
      <c r="D29" s="3" t="s">
        <v>210</v>
      </c>
      <c r="E29" t="s">
        <v>323</v>
      </c>
      <c r="F29">
        <v>1</v>
      </c>
      <c r="G29" s="1" t="s">
        <v>355</v>
      </c>
      <c r="H29" s="1" t="s">
        <v>451</v>
      </c>
      <c r="I29">
        <f>F29*VALUE(LEFT(H29, FIND(":", H29)-1))</f>
        <v>0</v>
      </c>
      <c r="J29" t="s">
        <v>6</v>
      </c>
      <c r="K29" t="s">
        <v>23</v>
      </c>
    </row>
    <row r="30" spans="1:11">
      <c r="A30" s="2"/>
      <c r="B30" s="2"/>
      <c r="C30" s="2" t="s">
        <v>72</v>
      </c>
      <c r="D30" s="3" t="s">
        <v>211</v>
      </c>
      <c r="E30" t="s">
        <v>323</v>
      </c>
      <c r="F30">
        <v>1</v>
      </c>
      <c r="G30" s="1" t="s">
        <v>356</v>
      </c>
      <c r="H30" s="1" t="s">
        <v>451</v>
      </c>
      <c r="I30">
        <f>F30*VALUE(LEFT(H30, FIND(":", H30)-1))</f>
        <v>0</v>
      </c>
      <c r="J30" t="s">
        <v>6</v>
      </c>
      <c r="K30" t="s">
        <v>23</v>
      </c>
    </row>
    <row r="31" spans="1:11">
      <c r="A31" s="2"/>
      <c r="B31" s="2"/>
      <c r="C31" s="2" t="s">
        <v>73</v>
      </c>
      <c r="D31" s="3" t="s">
        <v>212</v>
      </c>
      <c r="E31" t="s">
        <v>323</v>
      </c>
      <c r="F31">
        <v>1</v>
      </c>
      <c r="G31" s="1" t="s">
        <v>357</v>
      </c>
      <c r="H31" s="1" t="s">
        <v>451</v>
      </c>
      <c r="I31">
        <f>F31*VALUE(LEFT(H31, FIND(":", H31)-1))</f>
        <v>0</v>
      </c>
      <c r="J31" t="s">
        <v>6</v>
      </c>
      <c r="K31" t="s">
        <v>23</v>
      </c>
    </row>
    <row r="32" spans="1:11">
      <c r="A32" s="2"/>
      <c r="B32" s="2"/>
      <c r="C32" s="2" t="s">
        <v>74</v>
      </c>
      <c r="D32" s="3" t="s">
        <v>213</v>
      </c>
      <c r="E32" t="s">
        <v>323</v>
      </c>
      <c r="F32">
        <v>1</v>
      </c>
      <c r="G32" s="1" t="s">
        <v>358</v>
      </c>
      <c r="H32" s="1" t="s">
        <v>451</v>
      </c>
      <c r="I32">
        <f>F32*VALUE(LEFT(H32, FIND(":", H32)-1))</f>
        <v>0</v>
      </c>
      <c r="J32" t="s">
        <v>6</v>
      </c>
      <c r="K32" t="s">
        <v>23</v>
      </c>
    </row>
    <row r="33" spans="1:11">
      <c r="A33" s="2"/>
      <c r="B33" s="2"/>
      <c r="C33" s="2" t="s">
        <v>75</v>
      </c>
      <c r="D33" s="3" t="s">
        <v>214</v>
      </c>
      <c r="E33" t="s">
        <v>323</v>
      </c>
      <c r="F33">
        <v>1</v>
      </c>
      <c r="G33" s="1" t="s">
        <v>359</v>
      </c>
      <c r="H33" s="1" t="s">
        <v>451</v>
      </c>
      <c r="I33">
        <f>F33*VALUE(LEFT(H33, FIND(":", H33)-1))</f>
        <v>0</v>
      </c>
      <c r="J33" t="s">
        <v>6</v>
      </c>
      <c r="K33" t="s">
        <v>23</v>
      </c>
    </row>
    <row r="34" spans="1:11">
      <c r="A34" s="2"/>
      <c r="B34" s="2" t="s">
        <v>24</v>
      </c>
      <c r="C34" s="2" t="s">
        <v>76</v>
      </c>
      <c r="D34" s="3" t="s">
        <v>215</v>
      </c>
      <c r="E34" t="s">
        <v>322</v>
      </c>
      <c r="F34">
        <v>1</v>
      </c>
      <c r="G34" s="1" t="s">
        <v>360</v>
      </c>
      <c r="H34" s="1" t="s">
        <v>451</v>
      </c>
      <c r="I34">
        <f>F34*VALUE(LEFT(H34, FIND(":", H34)-1))</f>
        <v>0</v>
      </c>
      <c r="J34" t="s">
        <v>6</v>
      </c>
      <c r="K34" t="s">
        <v>24</v>
      </c>
    </row>
    <row r="35" spans="1:11">
      <c r="A35" s="2"/>
      <c r="B35" s="2"/>
      <c r="C35" s="2" t="s">
        <v>77</v>
      </c>
      <c r="D35" s="3" t="s">
        <v>216</v>
      </c>
      <c r="E35" t="s">
        <v>322</v>
      </c>
      <c r="F35">
        <v>1</v>
      </c>
      <c r="G35" s="1" t="s">
        <v>361</v>
      </c>
      <c r="H35" s="1" t="s">
        <v>451</v>
      </c>
      <c r="I35">
        <f>F35*VALUE(LEFT(H35, FIND(":", H35)-1))</f>
        <v>0</v>
      </c>
      <c r="J35" t="s">
        <v>6</v>
      </c>
      <c r="K35" t="s">
        <v>24</v>
      </c>
    </row>
    <row r="36" spans="1:11">
      <c r="A36" s="2"/>
      <c r="B36" s="2"/>
      <c r="C36" s="2" t="s">
        <v>78</v>
      </c>
      <c r="D36" s="3" t="s">
        <v>217</v>
      </c>
      <c r="E36" t="s">
        <v>322</v>
      </c>
      <c r="F36">
        <v>1</v>
      </c>
      <c r="G36" s="1" t="s">
        <v>362</v>
      </c>
      <c r="H36" s="1" t="s">
        <v>451</v>
      </c>
      <c r="I36">
        <f>F36*VALUE(LEFT(H36, FIND(":", H36)-1))</f>
        <v>0</v>
      </c>
      <c r="J36" t="s">
        <v>6</v>
      </c>
      <c r="K36" t="s">
        <v>24</v>
      </c>
    </row>
    <row r="37" spans="1:11">
      <c r="A37" s="2"/>
      <c r="B37" s="2"/>
      <c r="C37" s="2" t="s">
        <v>79</v>
      </c>
      <c r="D37" s="3" t="s">
        <v>218</v>
      </c>
      <c r="E37" t="s">
        <v>322</v>
      </c>
      <c r="F37">
        <v>1</v>
      </c>
      <c r="G37" s="1" t="s">
        <v>363</v>
      </c>
      <c r="H37" s="1" t="s">
        <v>459</v>
      </c>
      <c r="I37">
        <f>F37*VALUE(LEFT(H37, FIND(":", H37)-1))</f>
        <v>0</v>
      </c>
      <c r="J37" t="s">
        <v>6</v>
      </c>
      <c r="K37" t="s">
        <v>24</v>
      </c>
    </row>
    <row r="38" spans="1:11">
      <c r="A38" s="2"/>
      <c r="B38" s="2"/>
      <c r="C38" s="2" t="s">
        <v>80</v>
      </c>
      <c r="D38" s="3" t="s">
        <v>219</v>
      </c>
      <c r="E38" t="s">
        <v>322</v>
      </c>
      <c r="F38">
        <v>1</v>
      </c>
      <c r="G38" s="1" t="s">
        <v>364</v>
      </c>
      <c r="H38" s="1" t="s">
        <v>451</v>
      </c>
      <c r="I38">
        <f>F38*VALUE(LEFT(H38, FIND(":", H38)-1))</f>
        <v>0</v>
      </c>
      <c r="J38" t="s">
        <v>6</v>
      </c>
      <c r="K38" t="s">
        <v>24</v>
      </c>
    </row>
    <row r="39" spans="1:11">
      <c r="A39" s="2"/>
      <c r="B39" s="2"/>
      <c r="C39" s="2" t="s">
        <v>81</v>
      </c>
      <c r="D39" s="3" t="s">
        <v>220</v>
      </c>
      <c r="E39" t="s">
        <v>322</v>
      </c>
      <c r="F39">
        <v>1</v>
      </c>
      <c r="G39" s="1" t="s">
        <v>365</v>
      </c>
      <c r="H39" s="1" t="s">
        <v>452</v>
      </c>
      <c r="I39">
        <f>F39*VALUE(LEFT(H39, FIND(":", H39)-1))</f>
        <v>0</v>
      </c>
      <c r="J39" t="s">
        <v>6</v>
      </c>
      <c r="K39" t="s">
        <v>24</v>
      </c>
    </row>
    <row r="40" spans="1:11">
      <c r="A40" s="2"/>
      <c r="B40" s="2" t="s">
        <v>17</v>
      </c>
      <c r="C40" s="2" t="s">
        <v>82</v>
      </c>
      <c r="D40" s="3" t="s">
        <v>221</v>
      </c>
      <c r="E40" t="s">
        <v>323</v>
      </c>
      <c r="F40">
        <v>1</v>
      </c>
      <c r="H40" s="1" t="s">
        <v>460</v>
      </c>
      <c r="I40">
        <f>F40*VALUE(LEFT(H40, FIND(":", H40)-1))</f>
        <v>0</v>
      </c>
      <c r="J40" t="s">
        <v>6</v>
      </c>
      <c r="K40" t="s">
        <v>17</v>
      </c>
    </row>
    <row r="41" spans="1:11">
      <c r="A41" s="2"/>
      <c r="B41" s="2"/>
      <c r="C41" s="2" t="s">
        <v>83</v>
      </c>
      <c r="D41" s="3" t="s">
        <v>222</v>
      </c>
      <c r="E41" t="s">
        <v>324</v>
      </c>
      <c r="F41">
        <v>1</v>
      </c>
      <c r="G41" s="1" t="s">
        <v>366</v>
      </c>
      <c r="H41" s="1" t="s">
        <v>451</v>
      </c>
      <c r="I41">
        <f>F41*VALUE(LEFT(H41, FIND(":", H41)-1))</f>
        <v>0</v>
      </c>
      <c r="J41" t="s">
        <v>6</v>
      </c>
      <c r="K41" t="s">
        <v>17</v>
      </c>
    </row>
    <row r="42" spans="1:11">
      <c r="A42" s="2"/>
      <c r="B42" s="2"/>
      <c r="C42" s="2" t="s">
        <v>84</v>
      </c>
      <c r="D42" s="3" t="s">
        <v>223</v>
      </c>
      <c r="E42" t="s">
        <v>324</v>
      </c>
      <c r="F42">
        <v>1</v>
      </c>
      <c r="G42" s="1" t="s">
        <v>367</v>
      </c>
      <c r="H42" s="1" t="s">
        <v>451</v>
      </c>
      <c r="I42">
        <f>F42*VALUE(LEFT(H42, FIND(":", H42)-1))</f>
        <v>0</v>
      </c>
      <c r="J42" t="s">
        <v>6</v>
      </c>
      <c r="K42" t="s">
        <v>17</v>
      </c>
    </row>
    <row r="43" spans="1:11">
      <c r="A43" s="2"/>
      <c r="B43" s="2"/>
      <c r="C43" s="2" t="s">
        <v>85</v>
      </c>
      <c r="D43" s="3" t="s">
        <v>224</v>
      </c>
      <c r="E43" t="s">
        <v>324</v>
      </c>
      <c r="F43">
        <v>1</v>
      </c>
      <c r="G43" s="1" t="s">
        <v>368</v>
      </c>
      <c r="H43" s="1" t="s">
        <v>451</v>
      </c>
      <c r="I43">
        <f>F43*VALUE(LEFT(H43, FIND(":", H43)-1))</f>
        <v>0</v>
      </c>
      <c r="J43" t="s">
        <v>6</v>
      </c>
      <c r="K43" t="s">
        <v>17</v>
      </c>
    </row>
    <row r="44" spans="1:11">
      <c r="A44" s="2" t="s">
        <v>7</v>
      </c>
      <c r="B44" s="2" t="s">
        <v>13</v>
      </c>
      <c r="C44" s="2" t="s">
        <v>86</v>
      </c>
      <c r="D44" s="3" t="s">
        <v>225</v>
      </c>
      <c r="E44" t="s">
        <v>322</v>
      </c>
      <c r="F44">
        <v>1</v>
      </c>
      <c r="G44" s="1" t="s">
        <v>369</v>
      </c>
      <c r="H44" s="1" t="s">
        <v>451</v>
      </c>
      <c r="I44">
        <f>F44*VALUE(LEFT(H44, FIND(":", H44)-1))</f>
        <v>0</v>
      </c>
      <c r="J44" t="s">
        <v>7</v>
      </c>
      <c r="K44" t="s">
        <v>13</v>
      </c>
    </row>
    <row r="45" spans="1:11">
      <c r="A45" s="2"/>
      <c r="B45" s="2"/>
      <c r="C45" s="2" t="s">
        <v>87</v>
      </c>
      <c r="D45" s="3" t="s">
        <v>226</v>
      </c>
      <c r="E45" t="s">
        <v>326</v>
      </c>
      <c r="F45">
        <v>1</v>
      </c>
      <c r="G45" s="1" t="s">
        <v>370</v>
      </c>
      <c r="H45" s="1" t="s">
        <v>451</v>
      </c>
      <c r="I45">
        <f>F45*VALUE(LEFT(H45, FIND(":", H45)-1))</f>
        <v>0</v>
      </c>
      <c r="J45" t="s">
        <v>7</v>
      </c>
      <c r="K45" t="s">
        <v>13</v>
      </c>
    </row>
    <row r="46" spans="1:11">
      <c r="A46" s="2"/>
      <c r="B46" s="2"/>
      <c r="C46" s="2" t="s">
        <v>88</v>
      </c>
      <c r="D46" s="3" t="s">
        <v>227</v>
      </c>
      <c r="E46" t="s">
        <v>326</v>
      </c>
      <c r="F46">
        <v>1</v>
      </c>
      <c r="H46" s="1" t="s">
        <v>461</v>
      </c>
      <c r="I46">
        <f>F46*VALUE(LEFT(H46, FIND(":", H46)-1))</f>
        <v>0</v>
      </c>
      <c r="J46" t="s">
        <v>7</v>
      </c>
      <c r="K46" t="s">
        <v>13</v>
      </c>
    </row>
    <row r="47" spans="1:11">
      <c r="A47" s="2"/>
      <c r="B47" s="2"/>
      <c r="C47" s="2" t="s">
        <v>89</v>
      </c>
      <c r="D47" s="3" t="s">
        <v>228</v>
      </c>
      <c r="E47" t="s">
        <v>322</v>
      </c>
      <c r="F47">
        <v>1</v>
      </c>
      <c r="G47" s="1" t="s">
        <v>371</v>
      </c>
      <c r="H47" s="1" t="s">
        <v>451</v>
      </c>
      <c r="I47">
        <f>F47*VALUE(LEFT(H47, FIND(":", H47)-1))</f>
        <v>0</v>
      </c>
      <c r="J47" t="s">
        <v>7</v>
      </c>
      <c r="K47" t="s">
        <v>13</v>
      </c>
    </row>
    <row r="48" spans="1:11">
      <c r="A48" s="2"/>
      <c r="B48" s="2"/>
      <c r="C48" s="2" t="s">
        <v>90</v>
      </c>
      <c r="D48" s="3" t="s">
        <v>229</v>
      </c>
      <c r="E48" t="s">
        <v>322</v>
      </c>
      <c r="F48">
        <v>1</v>
      </c>
      <c r="G48" s="1" t="s">
        <v>372</v>
      </c>
      <c r="H48" s="1" t="s">
        <v>451</v>
      </c>
      <c r="I48">
        <f>F48*VALUE(LEFT(H48, FIND(":", H48)-1))</f>
        <v>0</v>
      </c>
      <c r="J48" t="s">
        <v>7</v>
      </c>
      <c r="K48" t="s">
        <v>13</v>
      </c>
    </row>
    <row r="49" spans="1:11">
      <c r="A49" s="2"/>
      <c r="B49" s="2"/>
      <c r="C49" s="2" t="s">
        <v>91</v>
      </c>
      <c r="D49" s="3" t="s">
        <v>230</v>
      </c>
      <c r="E49" t="s">
        <v>324</v>
      </c>
      <c r="F49">
        <v>1</v>
      </c>
      <c r="H49" s="1" t="s">
        <v>458</v>
      </c>
      <c r="I49">
        <f>F49*VALUE(LEFT(H49, FIND(":", H49)-1))</f>
        <v>0</v>
      </c>
      <c r="J49" t="s">
        <v>7</v>
      </c>
      <c r="K49" t="s">
        <v>13</v>
      </c>
    </row>
    <row r="50" spans="1:11">
      <c r="A50" s="2"/>
      <c r="B50" s="2"/>
      <c r="C50" s="2" t="s">
        <v>92</v>
      </c>
      <c r="D50" s="3" t="s">
        <v>231</v>
      </c>
      <c r="E50" t="s">
        <v>324</v>
      </c>
      <c r="F50">
        <v>1</v>
      </c>
      <c r="H50" s="1" t="s">
        <v>458</v>
      </c>
      <c r="I50">
        <f>F50*VALUE(LEFT(H50, FIND(":", H50)-1))</f>
        <v>0</v>
      </c>
      <c r="J50" t="s">
        <v>7</v>
      </c>
      <c r="K50" t="s">
        <v>13</v>
      </c>
    </row>
    <row r="51" spans="1:11">
      <c r="A51" s="2"/>
      <c r="B51" s="2"/>
      <c r="C51" s="2" t="s">
        <v>93</v>
      </c>
      <c r="D51" s="3" t="s">
        <v>232</v>
      </c>
      <c r="E51" t="s">
        <v>324</v>
      </c>
      <c r="F51">
        <v>1</v>
      </c>
      <c r="H51" s="1" t="s">
        <v>458</v>
      </c>
      <c r="I51">
        <f>F51*VALUE(LEFT(H51, FIND(":", H51)-1))</f>
        <v>0</v>
      </c>
      <c r="J51" t="s">
        <v>7</v>
      </c>
      <c r="K51" t="s">
        <v>13</v>
      </c>
    </row>
    <row r="52" spans="1:11">
      <c r="A52" s="2"/>
      <c r="B52" s="2"/>
      <c r="C52" s="2" t="s">
        <v>94</v>
      </c>
      <c r="D52" s="3" t="s">
        <v>233</v>
      </c>
      <c r="E52" t="s">
        <v>326</v>
      </c>
      <c r="F52">
        <v>1</v>
      </c>
      <c r="G52" s="1" t="s">
        <v>373</v>
      </c>
      <c r="H52" s="1" t="s">
        <v>451</v>
      </c>
      <c r="I52">
        <f>F52*VALUE(LEFT(H52, FIND(":", H52)-1))</f>
        <v>0</v>
      </c>
      <c r="J52" t="s">
        <v>7</v>
      </c>
      <c r="K52" t="s">
        <v>13</v>
      </c>
    </row>
    <row r="53" spans="1:11">
      <c r="A53" s="2"/>
      <c r="B53" s="2"/>
      <c r="C53" s="2" t="s">
        <v>95</v>
      </c>
      <c r="D53" s="3" t="s">
        <v>234</v>
      </c>
      <c r="E53" t="s">
        <v>324</v>
      </c>
      <c r="F53">
        <v>1</v>
      </c>
      <c r="H53" s="1" t="s">
        <v>458</v>
      </c>
      <c r="I53">
        <f>F53*VALUE(LEFT(H53, FIND(":", H53)-1))</f>
        <v>0</v>
      </c>
      <c r="J53" t="s">
        <v>7</v>
      </c>
      <c r="K53" t="s">
        <v>13</v>
      </c>
    </row>
    <row r="54" spans="1:11">
      <c r="A54" s="2"/>
      <c r="B54" s="2"/>
      <c r="C54" s="2" t="s">
        <v>96</v>
      </c>
      <c r="D54" s="3" t="s">
        <v>235</v>
      </c>
      <c r="E54" t="s">
        <v>324</v>
      </c>
      <c r="F54">
        <v>1</v>
      </c>
      <c r="H54" s="1" t="s">
        <v>458</v>
      </c>
      <c r="I54">
        <f>F54*VALUE(LEFT(H54, FIND(":", H54)-1))</f>
        <v>0</v>
      </c>
      <c r="J54" t="s">
        <v>7</v>
      </c>
      <c r="K54" t="s">
        <v>13</v>
      </c>
    </row>
    <row r="55" spans="1:11">
      <c r="A55" s="2"/>
      <c r="B55" s="2"/>
      <c r="C55" s="2" t="s">
        <v>97</v>
      </c>
      <c r="D55" s="3" t="s">
        <v>236</v>
      </c>
      <c r="E55" t="s">
        <v>324</v>
      </c>
      <c r="F55">
        <v>1</v>
      </c>
      <c r="H55" s="1" t="s">
        <v>458</v>
      </c>
      <c r="I55">
        <f>F55*VALUE(LEFT(H55, FIND(":", H55)-1))</f>
        <v>0</v>
      </c>
      <c r="J55" t="s">
        <v>7</v>
      </c>
      <c r="K55" t="s">
        <v>13</v>
      </c>
    </row>
    <row r="56" spans="1:11">
      <c r="A56" s="2"/>
      <c r="B56" s="2" t="s">
        <v>30</v>
      </c>
      <c r="C56" s="2" t="s">
        <v>98</v>
      </c>
      <c r="D56" s="3" t="s">
        <v>237</v>
      </c>
      <c r="E56" t="s">
        <v>324</v>
      </c>
      <c r="F56">
        <v>1</v>
      </c>
      <c r="H56" s="1" t="s">
        <v>458</v>
      </c>
      <c r="I56">
        <f>F56*VALUE(LEFT(H56, FIND(":", H56)-1))</f>
        <v>0</v>
      </c>
      <c r="J56" t="s">
        <v>7</v>
      </c>
      <c r="K56" t="s">
        <v>30</v>
      </c>
    </row>
    <row r="57" spans="1:11">
      <c r="A57" s="2"/>
      <c r="B57" s="2"/>
      <c r="C57" s="2" t="s">
        <v>99</v>
      </c>
      <c r="D57" s="3" t="s">
        <v>238</v>
      </c>
      <c r="E57" t="s">
        <v>324</v>
      </c>
      <c r="F57">
        <v>1</v>
      </c>
      <c r="H57" s="1" t="s">
        <v>458</v>
      </c>
      <c r="I57">
        <f>F57*VALUE(LEFT(H57, FIND(":", H57)-1))</f>
        <v>0</v>
      </c>
      <c r="J57" t="s">
        <v>7</v>
      </c>
      <c r="K57" t="s">
        <v>30</v>
      </c>
    </row>
    <row r="58" spans="1:11">
      <c r="A58" s="2"/>
      <c r="B58" s="2"/>
      <c r="C58" s="2" t="s">
        <v>100</v>
      </c>
      <c r="D58" s="3" t="s">
        <v>239</v>
      </c>
      <c r="E58" t="s">
        <v>324</v>
      </c>
      <c r="F58">
        <v>1</v>
      </c>
      <c r="H58" s="1" t="s">
        <v>458</v>
      </c>
      <c r="I58">
        <f>F58*VALUE(LEFT(H58, FIND(":", H58)-1))</f>
        <v>0</v>
      </c>
      <c r="J58" t="s">
        <v>7</v>
      </c>
      <c r="K58" t="s">
        <v>30</v>
      </c>
    </row>
    <row r="59" spans="1:11">
      <c r="A59" s="2"/>
      <c r="B59" s="2"/>
      <c r="C59" s="2" t="s">
        <v>101</v>
      </c>
      <c r="D59" s="3" t="s">
        <v>240</v>
      </c>
      <c r="E59" t="s">
        <v>324</v>
      </c>
      <c r="F59">
        <v>1</v>
      </c>
      <c r="H59" s="1" t="s">
        <v>458</v>
      </c>
      <c r="I59">
        <f>F59*VALUE(LEFT(H59, FIND(":", H59)-1))</f>
        <v>0</v>
      </c>
      <c r="J59" t="s">
        <v>7</v>
      </c>
      <c r="K59" t="s">
        <v>30</v>
      </c>
    </row>
    <row r="60" spans="1:11">
      <c r="A60" s="2"/>
      <c r="B60" s="2"/>
      <c r="C60" s="2" t="s">
        <v>102</v>
      </c>
      <c r="D60" s="3" t="s">
        <v>241</v>
      </c>
      <c r="E60" t="s">
        <v>324</v>
      </c>
      <c r="F60">
        <v>1</v>
      </c>
      <c r="H60" s="1" t="s">
        <v>458</v>
      </c>
      <c r="I60">
        <f>F60*VALUE(LEFT(H60, FIND(":", H60)-1))</f>
        <v>0</v>
      </c>
      <c r="J60" t="s">
        <v>7</v>
      </c>
      <c r="K60" t="s">
        <v>30</v>
      </c>
    </row>
    <row r="61" spans="1:11">
      <c r="A61" s="2"/>
      <c r="B61" s="2"/>
      <c r="C61" s="2" t="s">
        <v>103</v>
      </c>
      <c r="D61" s="3" t="s">
        <v>242</v>
      </c>
      <c r="E61" t="s">
        <v>324</v>
      </c>
      <c r="F61">
        <v>1</v>
      </c>
      <c r="H61" s="1" t="s">
        <v>458</v>
      </c>
      <c r="I61">
        <f>F61*VALUE(LEFT(H61, FIND(":", H61)-1))</f>
        <v>0</v>
      </c>
      <c r="J61" t="s">
        <v>7</v>
      </c>
      <c r="K61" t="s">
        <v>30</v>
      </c>
    </row>
    <row r="62" spans="1:11">
      <c r="A62" s="2"/>
      <c r="B62" s="2" t="s">
        <v>26</v>
      </c>
      <c r="C62" s="2" t="s">
        <v>104</v>
      </c>
      <c r="D62" s="3" t="s">
        <v>243</v>
      </c>
      <c r="E62" t="s">
        <v>322</v>
      </c>
      <c r="F62">
        <v>1</v>
      </c>
      <c r="G62" s="1" t="s">
        <v>374</v>
      </c>
      <c r="H62" s="1" t="s">
        <v>462</v>
      </c>
      <c r="I62">
        <f>F62*VALUE(LEFT(H62, FIND(":", H62)-1))</f>
        <v>0</v>
      </c>
      <c r="J62" t="s">
        <v>7</v>
      </c>
      <c r="K62" t="s">
        <v>26</v>
      </c>
    </row>
    <row r="63" spans="1:11">
      <c r="A63" s="2"/>
      <c r="B63" s="2"/>
      <c r="C63" s="2" t="s">
        <v>105</v>
      </c>
      <c r="D63" s="3" t="s">
        <v>244</v>
      </c>
      <c r="E63" t="s">
        <v>322</v>
      </c>
      <c r="F63">
        <v>1</v>
      </c>
      <c r="G63" s="1" t="s">
        <v>375</v>
      </c>
      <c r="H63" s="1" t="s">
        <v>451</v>
      </c>
      <c r="I63">
        <f>F63*VALUE(LEFT(H63, FIND(":", H63)-1))</f>
        <v>0</v>
      </c>
      <c r="J63" t="s">
        <v>7</v>
      </c>
      <c r="K63" t="s">
        <v>26</v>
      </c>
    </row>
    <row r="64" spans="1:11">
      <c r="A64" s="2"/>
      <c r="B64" s="2"/>
      <c r="C64" s="2" t="s">
        <v>106</v>
      </c>
      <c r="D64" s="3" t="s">
        <v>245</v>
      </c>
      <c r="E64" t="s">
        <v>322</v>
      </c>
      <c r="F64">
        <v>1</v>
      </c>
      <c r="G64" s="1" t="s">
        <v>376</v>
      </c>
      <c r="H64" s="1" t="s">
        <v>451</v>
      </c>
      <c r="I64">
        <f>F64*VALUE(LEFT(H64, FIND(":", H64)-1))</f>
        <v>0</v>
      </c>
      <c r="J64" t="s">
        <v>7</v>
      </c>
      <c r="K64" t="s">
        <v>26</v>
      </c>
    </row>
    <row r="65" spans="1:11">
      <c r="A65" s="2"/>
      <c r="B65" s="2"/>
      <c r="C65" s="2" t="s">
        <v>107</v>
      </c>
      <c r="D65" s="3" t="s">
        <v>246</v>
      </c>
      <c r="E65" t="s">
        <v>322</v>
      </c>
      <c r="F65">
        <v>1</v>
      </c>
      <c r="G65" s="1" t="s">
        <v>377</v>
      </c>
      <c r="H65" s="1" t="s">
        <v>451</v>
      </c>
      <c r="I65">
        <f>F65*VALUE(LEFT(H65, FIND(":", H65)-1))</f>
        <v>0</v>
      </c>
      <c r="J65" t="s">
        <v>7</v>
      </c>
      <c r="K65" t="s">
        <v>26</v>
      </c>
    </row>
    <row r="66" spans="1:11">
      <c r="A66" s="2"/>
      <c r="B66" s="2"/>
      <c r="C66" s="2" t="s">
        <v>108</v>
      </c>
      <c r="D66" s="3" t="s">
        <v>247</v>
      </c>
      <c r="E66" t="s">
        <v>322</v>
      </c>
      <c r="F66">
        <v>1</v>
      </c>
      <c r="G66" s="1" t="s">
        <v>378</v>
      </c>
      <c r="H66" s="1" t="s">
        <v>451</v>
      </c>
      <c r="I66">
        <f>F66*VALUE(LEFT(H66, FIND(":", H66)-1))</f>
        <v>0</v>
      </c>
      <c r="J66" t="s">
        <v>7</v>
      </c>
      <c r="K66" t="s">
        <v>26</v>
      </c>
    </row>
    <row r="67" spans="1:11">
      <c r="A67" s="2"/>
      <c r="B67" s="2"/>
      <c r="C67" s="2" t="s">
        <v>109</v>
      </c>
      <c r="D67" s="3" t="s">
        <v>248</v>
      </c>
      <c r="E67" t="s">
        <v>322</v>
      </c>
      <c r="F67">
        <v>1</v>
      </c>
      <c r="G67" s="1" t="s">
        <v>379</v>
      </c>
      <c r="H67" s="1" t="s">
        <v>451</v>
      </c>
      <c r="I67">
        <f>F67*VALUE(LEFT(H67, FIND(":", H67)-1))</f>
        <v>0</v>
      </c>
      <c r="J67" t="s">
        <v>7</v>
      </c>
      <c r="K67" t="s">
        <v>26</v>
      </c>
    </row>
    <row r="68" spans="1:11">
      <c r="A68" s="2"/>
      <c r="B68" s="2" t="s">
        <v>28</v>
      </c>
      <c r="C68" s="2" t="s">
        <v>110</v>
      </c>
      <c r="D68" s="3" t="s">
        <v>249</v>
      </c>
      <c r="E68" t="s">
        <v>326</v>
      </c>
      <c r="F68">
        <v>1</v>
      </c>
      <c r="H68" s="1" t="s">
        <v>458</v>
      </c>
      <c r="I68">
        <f>F68*VALUE(LEFT(H68, FIND(":", H68)-1))</f>
        <v>0</v>
      </c>
      <c r="J68" t="s">
        <v>7</v>
      </c>
      <c r="K68" t="s">
        <v>28</v>
      </c>
    </row>
    <row r="69" spans="1:11">
      <c r="A69" s="2"/>
      <c r="B69" s="2"/>
      <c r="C69" s="2" t="s">
        <v>111</v>
      </c>
      <c r="D69" s="3" t="s">
        <v>250</v>
      </c>
      <c r="E69" t="s">
        <v>326</v>
      </c>
      <c r="F69">
        <v>1</v>
      </c>
      <c r="H69" s="1" t="s">
        <v>458</v>
      </c>
      <c r="I69">
        <f>F69*VALUE(LEFT(H69, FIND(":", H69)-1))</f>
        <v>0</v>
      </c>
      <c r="J69" t="s">
        <v>7</v>
      </c>
      <c r="K69" t="s">
        <v>28</v>
      </c>
    </row>
    <row r="70" spans="1:11">
      <c r="A70" s="2"/>
      <c r="B70" s="2"/>
      <c r="C70" s="2" t="s">
        <v>112</v>
      </c>
      <c r="D70" s="3" t="s">
        <v>251</v>
      </c>
      <c r="E70" t="s">
        <v>322</v>
      </c>
      <c r="F70">
        <v>1</v>
      </c>
      <c r="G70" s="1" t="s">
        <v>380</v>
      </c>
      <c r="H70" s="1" t="s">
        <v>452</v>
      </c>
      <c r="I70">
        <f>F70*VALUE(LEFT(H70, FIND(":", H70)-1))</f>
        <v>0</v>
      </c>
      <c r="J70" t="s">
        <v>7</v>
      </c>
      <c r="K70" t="s">
        <v>28</v>
      </c>
    </row>
    <row r="71" spans="1:11">
      <c r="A71" s="2"/>
      <c r="B71" s="2"/>
      <c r="C71" s="2" t="s">
        <v>113</v>
      </c>
      <c r="D71" s="3" t="s">
        <v>252</v>
      </c>
      <c r="E71" t="s">
        <v>322</v>
      </c>
      <c r="F71">
        <v>1</v>
      </c>
      <c r="G71" s="1" t="s">
        <v>381</v>
      </c>
      <c r="H71" s="1" t="s">
        <v>451</v>
      </c>
      <c r="I71">
        <f>F71*VALUE(LEFT(H71, FIND(":", H71)-1))</f>
        <v>0</v>
      </c>
      <c r="J71" t="s">
        <v>7</v>
      </c>
      <c r="K71" t="s">
        <v>28</v>
      </c>
    </row>
    <row r="72" spans="1:11">
      <c r="A72" s="2"/>
      <c r="B72" s="2"/>
      <c r="C72" s="2" t="s">
        <v>114</v>
      </c>
      <c r="D72" s="3" t="s">
        <v>253</v>
      </c>
      <c r="E72" t="s">
        <v>322</v>
      </c>
      <c r="F72">
        <v>1</v>
      </c>
      <c r="G72" s="1" t="s">
        <v>382</v>
      </c>
      <c r="H72" s="1" t="s">
        <v>451</v>
      </c>
      <c r="I72">
        <f>F72*VALUE(LEFT(H72, FIND(":", H72)-1))</f>
        <v>0</v>
      </c>
      <c r="J72" t="s">
        <v>7</v>
      </c>
      <c r="K72" t="s">
        <v>28</v>
      </c>
    </row>
    <row r="73" spans="1:11">
      <c r="A73" s="2"/>
      <c r="B73" s="2"/>
      <c r="C73" s="2" t="s">
        <v>115</v>
      </c>
      <c r="D73" s="3" t="s">
        <v>254</v>
      </c>
      <c r="E73" t="s">
        <v>326</v>
      </c>
      <c r="F73">
        <v>1</v>
      </c>
      <c r="G73" s="1" t="s">
        <v>383</v>
      </c>
      <c r="H73" s="1" t="s">
        <v>451</v>
      </c>
      <c r="I73">
        <f>F73*VALUE(LEFT(H73, FIND(":", H73)-1))</f>
        <v>0</v>
      </c>
      <c r="J73" t="s">
        <v>7</v>
      </c>
      <c r="K73" t="s">
        <v>28</v>
      </c>
    </row>
    <row r="74" spans="1:11">
      <c r="A74" s="2"/>
      <c r="B74" s="2" t="s">
        <v>32</v>
      </c>
      <c r="C74" s="2" t="s">
        <v>116</v>
      </c>
      <c r="D74" s="3" t="s">
        <v>255</v>
      </c>
      <c r="E74" t="s">
        <v>324</v>
      </c>
      <c r="F74">
        <v>1</v>
      </c>
      <c r="H74" s="1" t="s">
        <v>458</v>
      </c>
      <c r="I74">
        <f>F74*VALUE(LEFT(H74, FIND(":", H74)-1))</f>
        <v>0</v>
      </c>
      <c r="J74" t="s">
        <v>7</v>
      </c>
      <c r="K74" t="s">
        <v>32</v>
      </c>
    </row>
    <row r="75" spans="1:11">
      <c r="A75" s="2"/>
      <c r="B75" s="2"/>
      <c r="C75" s="2" t="s">
        <v>117</v>
      </c>
      <c r="D75" s="3" t="s">
        <v>256</v>
      </c>
      <c r="E75" t="s">
        <v>326</v>
      </c>
      <c r="F75">
        <v>1</v>
      </c>
      <c r="H75" s="1" t="s">
        <v>463</v>
      </c>
      <c r="I75">
        <f>F75*VALUE(LEFT(H75, FIND(":", H75)-1))</f>
        <v>0</v>
      </c>
      <c r="J75" t="s">
        <v>7</v>
      </c>
      <c r="K75" t="s">
        <v>32</v>
      </c>
    </row>
    <row r="76" spans="1:11">
      <c r="A76" s="2"/>
      <c r="B76" s="2"/>
      <c r="C76" s="2" t="s">
        <v>118</v>
      </c>
      <c r="D76" s="3" t="s">
        <v>257</v>
      </c>
      <c r="E76" t="s">
        <v>326</v>
      </c>
      <c r="F76">
        <v>1</v>
      </c>
      <c r="H76" s="1" t="s">
        <v>462</v>
      </c>
      <c r="I76">
        <f>F76*VALUE(LEFT(H76, FIND(":", H76)-1))</f>
        <v>0</v>
      </c>
      <c r="J76" t="s">
        <v>7</v>
      </c>
      <c r="K76" t="s">
        <v>32</v>
      </c>
    </row>
    <row r="77" spans="1:11">
      <c r="A77" s="2"/>
      <c r="B77" s="2"/>
      <c r="C77" s="2" t="s">
        <v>119</v>
      </c>
      <c r="D77" s="3" t="s">
        <v>258</v>
      </c>
      <c r="E77" t="s">
        <v>324</v>
      </c>
      <c r="F77">
        <v>1</v>
      </c>
      <c r="H77" s="1" t="s">
        <v>458</v>
      </c>
      <c r="I77">
        <f>F77*VALUE(LEFT(H77, FIND(":", H77)-1))</f>
        <v>0</v>
      </c>
      <c r="J77" t="s">
        <v>7</v>
      </c>
      <c r="K77" t="s">
        <v>32</v>
      </c>
    </row>
    <row r="78" spans="1:11">
      <c r="A78" s="2"/>
      <c r="B78" s="2"/>
      <c r="C78" s="2" t="s">
        <v>120</v>
      </c>
      <c r="D78" s="3" t="s">
        <v>259</v>
      </c>
      <c r="E78" t="s">
        <v>324</v>
      </c>
      <c r="F78">
        <v>1</v>
      </c>
      <c r="H78" s="1" t="s">
        <v>458</v>
      </c>
      <c r="I78">
        <f>F78*VALUE(LEFT(H78, FIND(":", H78)-1))</f>
        <v>0</v>
      </c>
      <c r="J78" t="s">
        <v>7</v>
      </c>
      <c r="K78" t="s">
        <v>32</v>
      </c>
    </row>
    <row r="79" spans="1:11">
      <c r="A79" s="2"/>
      <c r="B79" s="2"/>
      <c r="C79" s="2" t="s">
        <v>121</v>
      </c>
      <c r="D79" s="3" t="s">
        <v>260</v>
      </c>
      <c r="E79" t="s">
        <v>324</v>
      </c>
      <c r="F79">
        <v>1</v>
      </c>
      <c r="H79" s="1" t="s">
        <v>458</v>
      </c>
      <c r="I79">
        <f>F79*VALUE(LEFT(H79, FIND(":", H79)-1))</f>
        <v>0</v>
      </c>
      <c r="J79" t="s">
        <v>7</v>
      </c>
      <c r="K79" t="s">
        <v>32</v>
      </c>
    </row>
    <row r="80" spans="1:11">
      <c r="A80" s="2" t="s">
        <v>8</v>
      </c>
      <c r="B80" s="2" t="s">
        <v>25</v>
      </c>
      <c r="C80" s="2" t="s">
        <v>122</v>
      </c>
      <c r="D80" s="3" t="s">
        <v>261</v>
      </c>
      <c r="E80" t="s">
        <v>324</v>
      </c>
      <c r="F80">
        <v>1</v>
      </c>
      <c r="H80" s="1" t="s">
        <v>458</v>
      </c>
      <c r="I80">
        <f>F80*VALUE(LEFT(H80, FIND(":", H80)-1))</f>
        <v>0</v>
      </c>
      <c r="J80" t="s">
        <v>8</v>
      </c>
      <c r="K80" t="s">
        <v>25</v>
      </c>
    </row>
    <row r="81" spans="1:11">
      <c r="A81" s="2"/>
      <c r="B81" s="2"/>
      <c r="C81" s="2" t="s">
        <v>123</v>
      </c>
      <c r="D81" s="3" t="s">
        <v>262</v>
      </c>
      <c r="E81" t="s">
        <v>324</v>
      </c>
      <c r="F81">
        <v>1</v>
      </c>
      <c r="H81" s="1" t="s">
        <v>458</v>
      </c>
      <c r="I81">
        <f>F81*VALUE(LEFT(H81, FIND(":", H81)-1))</f>
        <v>0</v>
      </c>
      <c r="J81" t="s">
        <v>8</v>
      </c>
      <c r="K81" t="s">
        <v>25</v>
      </c>
    </row>
    <row r="82" spans="1:11">
      <c r="A82" s="2"/>
      <c r="B82" s="2"/>
      <c r="C82" s="2" t="s">
        <v>124</v>
      </c>
      <c r="D82" s="3" t="s">
        <v>263</v>
      </c>
      <c r="E82" t="s">
        <v>324</v>
      </c>
      <c r="F82">
        <v>1</v>
      </c>
      <c r="H82" s="1" t="s">
        <v>458</v>
      </c>
      <c r="I82">
        <f>F82*VALUE(LEFT(H82, FIND(":", H82)-1))</f>
        <v>0</v>
      </c>
      <c r="J82" t="s">
        <v>8</v>
      </c>
      <c r="K82" t="s">
        <v>25</v>
      </c>
    </row>
    <row r="83" spans="1:11">
      <c r="A83" s="2"/>
      <c r="B83" s="2"/>
      <c r="C83" s="2" t="s">
        <v>125</v>
      </c>
      <c r="D83" s="3" t="s">
        <v>264</v>
      </c>
      <c r="E83" t="s">
        <v>324</v>
      </c>
      <c r="F83">
        <v>1</v>
      </c>
      <c r="H83" s="1" t="s">
        <v>458</v>
      </c>
      <c r="I83">
        <f>F83*VALUE(LEFT(H83, FIND(":", H83)-1))</f>
        <v>0</v>
      </c>
      <c r="J83" t="s">
        <v>8</v>
      </c>
      <c r="K83" t="s">
        <v>25</v>
      </c>
    </row>
    <row r="84" spans="1:11">
      <c r="A84" s="2"/>
      <c r="B84" s="2"/>
      <c r="C84" s="2" t="s">
        <v>126</v>
      </c>
      <c r="D84" s="3" t="s">
        <v>265</v>
      </c>
      <c r="E84" t="s">
        <v>326</v>
      </c>
      <c r="F84">
        <v>1</v>
      </c>
      <c r="H84" s="1" t="s">
        <v>464</v>
      </c>
      <c r="I84">
        <f>F84*VALUE(LEFT(H84, FIND(":", H84)-1))</f>
        <v>0</v>
      </c>
      <c r="J84" t="s">
        <v>8</v>
      </c>
      <c r="K84" t="s">
        <v>25</v>
      </c>
    </row>
    <row r="85" spans="1:11">
      <c r="A85" s="2"/>
      <c r="B85" s="2"/>
      <c r="C85" s="2" t="s">
        <v>127</v>
      </c>
      <c r="D85" s="3" t="s">
        <v>266</v>
      </c>
      <c r="E85" t="s">
        <v>324</v>
      </c>
      <c r="F85">
        <v>1</v>
      </c>
      <c r="H85" s="1" t="s">
        <v>458</v>
      </c>
      <c r="I85">
        <f>F85*VALUE(LEFT(H85, FIND(":", H85)-1))</f>
        <v>0</v>
      </c>
      <c r="J85" t="s">
        <v>8</v>
      </c>
      <c r="K85" t="s">
        <v>25</v>
      </c>
    </row>
    <row r="86" spans="1:11">
      <c r="A86" s="2"/>
      <c r="B86" s="2" t="s">
        <v>15</v>
      </c>
      <c r="C86" s="2" t="s">
        <v>128</v>
      </c>
      <c r="D86" s="3" t="s">
        <v>267</v>
      </c>
      <c r="E86" t="s">
        <v>326</v>
      </c>
      <c r="F86">
        <v>1</v>
      </c>
      <c r="H86" s="1" t="s">
        <v>465</v>
      </c>
      <c r="I86">
        <f>F86*VALUE(LEFT(H86, FIND(":", H86)-1))</f>
        <v>0</v>
      </c>
      <c r="J86" t="s">
        <v>8</v>
      </c>
      <c r="K86" t="s">
        <v>15</v>
      </c>
    </row>
    <row r="87" spans="1:11">
      <c r="A87" s="2"/>
      <c r="B87" s="2"/>
      <c r="C87" s="2" t="s">
        <v>129</v>
      </c>
      <c r="D87" s="3" t="s">
        <v>268</v>
      </c>
      <c r="E87" t="s">
        <v>326</v>
      </c>
      <c r="F87">
        <v>1</v>
      </c>
      <c r="H87" s="1" t="s">
        <v>465</v>
      </c>
      <c r="I87">
        <f>F87*VALUE(LEFT(H87, FIND(":", H87)-1))</f>
        <v>0</v>
      </c>
      <c r="J87" t="s">
        <v>8</v>
      </c>
      <c r="K87" t="s">
        <v>15</v>
      </c>
    </row>
    <row r="88" spans="1:11">
      <c r="A88" s="2"/>
      <c r="B88" s="2"/>
      <c r="C88" s="2" t="s">
        <v>130</v>
      </c>
      <c r="D88" s="3" t="s">
        <v>269</v>
      </c>
      <c r="E88" t="s">
        <v>324</v>
      </c>
      <c r="F88">
        <v>1</v>
      </c>
      <c r="H88" s="1" t="s">
        <v>458</v>
      </c>
      <c r="I88">
        <f>F88*VALUE(LEFT(H88, FIND(":", H88)-1))</f>
        <v>0</v>
      </c>
      <c r="J88" t="s">
        <v>8</v>
      </c>
      <c r="K88" t="s">
        <v>15</v>
      </c>
    </row>
    <row r="89" spans="1:11">
      <c r="A89" s="2"/>
      <c r="B89" s="2"/>
      <c r="C89" s="2" t="s">
        <v>131</v>
      </c>
      <c r="D89" s="3" t="s">
        <v>270</v>
      </c>
      <c r="E89" t="s">
        <v>324</v>
      </c>
      <c r="F89">
        <v>1</v>
      </c>
      <c r="H89" s="1" t="s">
        <v>458</v>
      </c>
      <c r="I89">
        <f>F89*VALUE(LEFT(H89, FIND(":", H89)-1))</f>
        <v>0</v>
      </c>
      <c r="J89" t="s">
        <v>8</v>
      </c>
      <c r="K89" t="s">
        <v>15</v>
      </c>
    </row>
    <row r="90" spans="1:11">
      <c r="A90" s="2"/>
      <c r="B90" s="2"/>
      <c r="C90" s="2" t="s">
        <v>132</v>
      </c>
      <c r="D90" s="3" t="s">
        <v>271</v>
      </c>
      <c r="E90" t="s">
        <v>324</v>
      </c>
      <c r="F90">
        <v>1</v>
      </c>
      <c r="H90" s="1" t="s">
        <v>458</v>
      </c>
      <c r="I90">
        <f>F90*VALUE(LEFT(H90, FIND(":", H90)-1))</f>
        <v>0</v>
      </c>
      <c r="J90" t="s">
        <v>8</v>
      </c>
      <c r="K90" t="s">
        <v>15</v>
      </c>
    </row>
    <row r="91" spans="1:11">
      <c r="A91" s="2"/>
      <c r="B91" s="2"/>
      <c r="C91" s="2" t="s">
        <v>133</v>
      </c>
      <c r="D91" s="3" t="s">
        <v>272</v>
      </c>
      <c r="E91" t="s">
        <v>324</v>
      </c>
      <c r="F91">
        <v>1</v>
      </c>
      <c r="H91" s="1" t="s">
        <v>458</v>
      </c>
      <c r="I91">
        <f>F91*VALUE(LEFT(H91, FIND(":", H91)-1))</f>
        <v>0</v>
      </c>
      <c r="J91" t="s">
        <v>8</v>
      </c>
      <c r="K91" t="s">
        <v>15</v>
      </c>
    </row>
    <row r="92" spans="1:11">
      <c r="A92" s="2"/>
      <c r="B92" s="2" t="s">
        <v>21</v>
      </c>
      <c r="C92" s="2" t="s">
        <v>134</v>
      </c>
      <c r="D92" s="3" t="s">
        <v>273</v>
      </c>
      <c r="E92" t="s">
        <v>322</v>
      </c>
      <c r="F92">
        <v>1</v>
      </c>
      <c r="G92" s="1" t="s">
        <v>384</v>
      </c>
      <c r="H92" s="1" t="s">
        <v>451</v>
      </c>
      <c r="I92">
        <f>F92*VALUE(LEFT(H92, FIND(":", H92)-1))</f>
        <v>0</v>
      </c>
      <c r="J92" t="s">
        <v>8</v>
      </c>
      <c r="K92" t="s">
        <v>21</v>
      </c>
    </row>
    <row r="93" spans="1:11">
      <c r="A93" s="2"/>
      <c r="B93" s="2"/>
      <c r="C93" s="2" t="s">
        <v>135</v>
      </c>
      <c r="D93" s="3" t="s">
        <v>274</v>
      </c>
      <c r="E93" t="s">
        <v>327</v>
      </c>
      <c r="F93">
        <v>1</v>
      </c>
      <c r="G93" s="1" t="s">
        <v>385</v>
      </c>
      <c r="H93" s="1" t="s">
        <v>451</v>
      </c>
      <c r="I93">
        <f>F93*VALUE(LEFT(H93, FIND(":", H93)-1))</f>
        <v>0</v>
      </c>
      <c r="J93" t="s">
        <v>8</v>
      </c>
      <c r="K93" t="s">
        <v>21</v>
      </c>
    </row>
    <row r="94" spans="1:11">
      <c r="A94" s="2"/>
      <c r="B94" s="2"/>
      <c r="C94" s="2" t="s">
        <v>136</v>
      </c>
      <c r="D94" s="3" t="s">
        <v>275</v>
      </c>
      <c r="E94" t="s">
        <v>327</v>
      </c>
      <c r="F94">
        <v>1</v>
      </c>
      <c r="H94" s="1" t="s">
        <v>466</v>
      </c>
      <c r="I94">
        <f>F94*VALUE(LEFT(H94, FIND(":", H94)-1))</f>
        <v>0</v>
      </c>
      <c r="J94" t="s">
        <v>8</v>
      </c>
      <c r="K94" t="s">
        <v>21</v>
      </c>
    </row>
    <row r="95" spans="1:11">
      <c r="A95" s="2"/>
      <c r="B95" s="2"/>
      <c r="C95" s="2" t="s">
        <v>137</v>
      </c>
      <c r="D95" s="3" t="s">
        <v>276</v>
      </c>
      <c r="E95" t="s">
        <v>326</v>
      </c>
      <c r="F95">
        <v>1</v>
      </c>
      <c r="G95" s="1" t="s">
        <v>386</v>
      </c>
      <c r="H95" s="1" t="s">
        <v>462</v>
      </c>
      <c r="I95">
        <f>F95*VALUE(LEFT(H95, FIND(":", H95)-1))</f>
        <v>0</v>
      </c>
      <c r="J95" t="s">
        <v>8</v>
      </c>
      <c r="K95" t="s">
        <v>21</v>
      </c>
    </row>
    <row r="96" spans="1:11">
      <c r="A96" s="2"/>
      <c r="B96" s="2"/>
      <c r="C96" s="2" t="s">
        <v>138</v>
      </c>
      <c r="D96" s="3" t="s">
        <v>277</v>
      </c>
      <c r="E96" t="s">
        <v>326</v>
      </c>
      <c r="F96">
        <v>1</v>
      </c>
      <c r="H96" s="1" t="s">
        <v>467</v>
      </c>
      <c r="I96">
        <f>F96*VALUE(LEFT(H96, FIND(":", H96)-1))</f>
        <v>0</v>
      </c>
      <c r="J96" t="s">
        <v>8</v>
      </c>
      <c r="K96" t="s">
        <v>21</v>
      </c>
    </row>
    <row r="97" spans="1:11">
      <c r="A97" s="2"/>
      <c r="B97" s="2"/>
      <c r="C97" s="2" t="s">
        <v>139</v>
      </c>
      <c r="D97" s="3" t="s">
        <v>278</v>
      </c>
      <c r="E97" t="s">
        <v>326</v>
      </c>
      <c r="F97">
        <v>1</v>
      </c>
      <c r="G97" s="1" t="s">
        <v>387</v>
      </c>
      <c r="H97" s="1" t="s">
        <v>451</v>
      </c>
      <c r="I97">
        <f>F97*VALUE(LEFT(H97, FIND(":", H97)-1))</f>
        <v>0</v>
      </c>
      <c r="J97" t="s">
        <v>8</v>
      </c>
      <c r="K97" t="s">
        <v>21</v>
      </c>
    </row>
    <row r="98" spans="1:11">
      <c r="A98" s="2"/>
      <c r="B98" s="2" t="s">
        <v>27</v>
      </c>
      <c r="C98" s="2" t="s">
        <v>140</v>
      </c>
      <c r="D98" s="3" t="s">
        <v>279</v>
      </c>
      <c r="E98" t="s">
        <v>323</v>
      </c>
      <c r="F98">
        <v>1</v>
      </c>
      <c r="G98" s="1" t="s">
        <v>388</v>
      </c>
      <c r="H98" s="1" t="s">
        <v>451</v>
      </c>
      <c r="I98">
        <f>F98*VALUE(LEFT(H98, FIND(":", H98)-1))</f>
        <v>0</v>
      </c>
      <c r="J98" t="s">
        <v>8</v>
      </c>
      <c r="K98" t="s">
        <v>27</v>
      </c>
    </row>
    <row r="99" spans="1:11">
      <c r="A99" s="2"/>
      <c r="B99" s="2"/>
      <c r="C99" s="2" t="s">
        <v>141</v>
      </c>
      <c r="D99" s="3" t="s">
        <v>280</v>
      </c>
      <c r="E99" t="s">
        <v>323</v>
      </c>
      <c r="F99">
        <v>1</v>
      </c>
      <c r="G99" s="1" t="s">
        <v>389</v>
      </c>
      <c r="H99" s="1" t="s">
        <v>451</v>
      </c>
      <c r="I99">
        <f>F99*VALUE(LEFT(H99, FIND(":", H99)-1))</f>
        <v>0</v>
      </c>
      <c r="J99" t="s">
        <v>8</v>
      </c>
      <c r="K99" t="s">
        <v>27</v>
      </c>
    </row>
    <row r="100" spans="1:11">
      <c r="A100" s="2"/>
      <c r="B100" s="2"/>
      <c r="C100" s="2" t="s">
        <v>142</v>
      </c>
      <c r="D100" s="3" t="s">
        <v>281</v>
      </c>
      <c r="E100" t="s">
        <v>323</v>
      </c>
      <c r="F100">
        <v>1</v>
      </c>
      <c r="G100" s="1" t="s">
        <v>390</v>
      </c>
      <c r="H100" s="1" t="s">
        <v>451</v>
      </c>
      <c r="I100">
        <f>F100*VALUE(LEFT(H100, FIND(":", H100)-1))</f>
        <v>0</v>
      </c>
      <c r="J100" t="s">
        <v>8</v>
      </c>
      <c r="K100" t="s">
        <v>27</v>
      </c>
    </row>
    <row r="101" spans="1:11">
      <c r="A101" s="2"/>
      <c r="B101" s="2"/>
      <c r="C101" s="2" t="s">
        <v>143</v>
      </c>
      <c r="D101" s="3" t="s">
        <v>282</v>
      </c>
      <c r="E101" t="s">
        <v>323</v>
      </c>
      <c r="F101">
        <v>1</v>
      </c>
      <c r="G101" s="1" t="s">
        <v>391</v>
      </c>
      <c r="H101" s="1" t="s">
        <v>451</v>
      </c>
      <c r="I101">
        <f>F101*VALUE(LEFT(H101, FIND(":", H101)-1))</f>
        <v>0</v>
      </c>
      <c r="J101" t="s">
        <v>8</v>
      </c>
      <c r="K101" t="s">
        <v>27</v>
      </c>
    </row>
    <row r="102" spans="1:11">
      <c r="A102" s="2"/>
      <c r="B102" s="2"/>
      <c r="C102" s="2" t="s">
        <v>144</v>
      </c>
      <c r="D102" s="3" t="s">
        <v>283</v>
      </c>
      <c r="E102" t="s">
        <v>327</v>
      </c>
      <c r="F102">
        <v>1</v>
      </c>
      <c r="G102" s="1" t="s">
        <v>392</v>
      </c>
      <c r="H102" s="1" t="s">
        <v>451</v>
      </c>
      <c r="I102">
        <f>F102*VALUE(LEFT(H102, FIND(":", H102)-1))</f>
        <v>0</v>
      </c>
      <c r="J102" t="s">
        <v>8</v>
      </c>
      <c r="K102" t="s">
        <v>27</v>
      </c>
    </row>
    <row r="103" spans="1:11">
      <c r="A103" s="2"/>
      <c r="B103" s="2"/>
      <c r="C103" s="2" t="s">
        <v>145</v>
      </c>
      <c r="D103" s="3" t="s">
        <v>284</v>
      </c>
      <c r="E103" t="s">
        <v>322</v>
      </c>
      <c r="F103">
        <v>1</v>
      </c>
      <c r="G103" s="1" t="s">
        <v>393</v>
      </c>
      <c r="H103" s="1" t="s">
        <v>462</v>
      </c>
      <c r="I103">
        <f>F103*VALUE(LEFT(H103, FIND(":", H103)-1))</f>
        <v>0</v>
      </c>
      <c r="J103" t="s">
        <v>8</v>
      </c>
      <c r="K103" t="s">
        <v>27</v>
      </c>
    </row>
    <row r="104" spans="1:11">
      <c r="A104" s="2"/>
      <c r="B104" s="2"/>
      <c r="C104" s="2" t="s">
        <v>146</v>
      </c>
      <c r="D104" s="3" t="s">
        <v>285</v>
      </c>
      <c r="E104" t="s">
        <v>323</v>
      </c>
      <c r="F104">
        <v>1</v>
      </c>
      <c r="G104" s="1" t="s">
        <v>394</v>
      </c>
      <c r="H104" s="1" t="s">
        <v>451</v>
      </c>
      <c r="I104">
        <f>F104*VALUE(LEFT(H104, FIND(":", H104)-1))</f>
        <v>0</v>
      </c>
      <c r="J104" t="s">
        <v>8</v>
      </c>
      <c r="K104" t="s">
        <v>27</v>
      </c>
    </row>
    <row r="105" spans="1:11">
      <c r="A105" s="2"/>
      <c r="B105" s="2" t="s">
        <v>31</v>
      </c>
      <c r="C105" s="2" t="s">
        <v>147</v>
      </c>
      <c r="D105" s="3" t="s">
        <v>286</v>
      </c>
      <c r="E105" t="s">
        <v>327</v>
      </c>
      <c r="F105">
        <v>1</v>
      </c>
      <c r="G105" s="1" t="s">
        <v>395</v>
      </c>
      <c r="H105" s="1" t="s">
        <v>451</v>
      </c>
      <c r="I105">
        <f>F105*VALUE(LEFT(H105, FIND(":", H105)-1))</f>
        <v>0</v>
      </c>
      <c r="J105" t="s">
        <v>8</v>
      </c>
      <c r="K105" t="s">
        <v>31</v>
      </c>
    </row>
    <row r="106" spans="1:11">
      <c r="A106" s="2"/>
      <c r="B106" s="2"/>
      <c r="C106" s="2" t="s">
        <v>148</v>
      </c>
      <c r="D106" s="3" t="s">
        <v>287</v>
      </c>
      <c r="E106" t="s">
        <v>323</v>
      </c>
      <c r="F106">
        <v>1</v>
      </c>
      <c r="G106" s="1" t="s">
        <v>396</v>
      </c>
      <c r="H106" s="1" t="s">
        <v>451</v>
      </c>
      <c r="I106">
        <f>F106*VALUE(LEFT(H106, FIND(":", H106)-1))</f>
        <v>0</v>
      </c>
      <c r="J106" t="s">
        <v>8</v>
      </c>
      <c r="K106" t="s">
        <v>31</v>
      </c>
    </row>
    <row r="107" spans="1:11">
      <c r="A107" s="2"/>
      <c r="B107" s="2"/>
      <c r="C107" s="2" t="s">
        <v>149</v>
      </c>
      <c r="D107" s="3" t="s">
        <v>288</v>
      </c>
      <c r="E107" t="s">
        <v>323</v>
      </c>
      <c r="F107">
        <v>1</v>
      </c>
      <c r="G107" s="1" t="s">
        <v>397</v>
      </c>
      <c r="H107" s="1" t="s">
        <v>451</v>
      </c>
      <c r="I107">
        <f>F107*VALUE(LEFT(H107, FIND(":", H107)-1))</f>
        <v>0</v>
      </c>
      <c r="J107" t="s">
        <v>8</v>
      </c>
      <c r="K107" t="s">
        <v>31</v>
      </c>
    </row>
    <row r="108" spans="1:11">
      <c r="A108" s="2"/>
      <c r="B108" s="2"/>
      <c r="C108" s="2" t="s">
        <v>150</v>
      </c>
      <c r="D108" s="3" t="s">
        <v>289</v>
      </c>
      <c r="E108" t="s">
        <v>323</v>
      </c>
      <c r="F108">
        <v>1</v>
      </c>
      <c r="G108" s="1" t="s">
        <v>398</v>
      </c>
      <c r="H108" s="1" t="s">
        <v>451</v>
      </c>
      <c r="I108">
        <f>F108*VALUE(LEFT(H108, FIND(":", H108)-1))</f>
        <v>0</v>
      </c>
      <c r="J108" t="s">
        <v>8</v>
      </c>
      <c r="K108" t="s">
        <v>31</v>
      </c>
    </row>
    <row r="109" spans="1:11">
      <c r="A109" s="2"/>
      <c r="B109" s="2"/>
      <c r="C109" s="2" t="s">
        <v>151</v>
      </c>
      <c r="D109" s="3" t="s">
        <v>290</v>
      </c>
      <c r="E109" t="s">
        <v>323</v>
      </c>
      <c r="F109">
        <v>1</v>
      </c>
      <c r="G109" s="1" t="s">
        <v>399</v>
      </c>
      <c r="H109" s="1" t="s">
        <v>451</v>
      </c>
      <c r="I109">
        <f>F109*VALUE(LEFT(H109, FIND(":", H109)-1))</f>
        <v>0</v>
      </c>
      <c r="J109" t="s">
        <v>8</v>
      </c>
      <c r="K109" t="s">
        <v>31</v>
      </c>
    </row>
    <row r="110" spans="1:11">
      <c r="A110" s="2"/>
      <c r="B110" s="2"/>
      <c r="C110" s="2" t="s">
        <v>152</v>
      </c>
      <c r="D110" s="3" t="s">
        <v>291</v>
      </c>
      <c r="E110" t="s">
        <v>322</v>
      </c>
      <c r="F110">
        <v>1</v>
      </c>
      <c r="G110" s="1" t="s">
        <v>400</v>
      </c>
      <c r="H110" s="1" t="s">
        <v>451</v>
      </c>
      <c r="I110">
        <f>F110*VALUE(LEFT(H110, FIND(":", H110)-1))</f>
        <v>0</v>
      </c>
      <c r="J110" t="s">
        <v>8</v>
      </c>
      <c r="K110" t="s">
        <v>31</v>
      </c>
    </row>
    <row r="111" spans="1:11">
      <c r="A111" s="2" t="s">
        <v>9</v>
      </c>
      <c r="B111" s="2" t="s">
        <v>11</v>
      </c>
      <c r="C111" s="2" t="s">
        <v>153</v>
      </c>
      <c r="D111" s="3" t="s">
        <v>292</v>
      </c>
      <c r="E111" t="s">
        <v>326</v>
      </c>
      <c r="F111">
        <v>1</v>
      </c>
      <c r="G111" s="1" t="s">
        <v>401</v>
      </c>
      <c r="H111" s="1" t="s">
        <v>451</v>
      </c>
      <c r="I111">
        <f>F111*VALUE(LEFT(H111, FIND(":", H111)-1))</f>
        <v>0</v>
      </c>
      <c r="J111" t="s">
        <v>9</v>
      </c>
      <c r="K111" t="s">
        <v>11</v>
      </c>
    </row>
    <row r="112" spans="1:11">
      <c r="A112" s="2"/>
      <c r="B112" s="2"/>
      <c r="C112" s="2" t="s">
        <v>154</v>
      </c>
      <c r="D112" s="3" t="s">
        <v>293</v>
      </c>
      <c r="E112" t="s">
        <v>326</v>
      </c>
      <c r="F112">
        <v>1</v>
      </c>
      <c r="G112" s="1" t="s">
        <v>402</v>
      </c>
      <c r="H112" s="1" t="s">
        <v>462</v>
      </c>
      <c r="I112">
        <f>F112*VALUE(LEFT(H112, FIND(":", H112)-1))</f>
        <v>0</v>
      </c>
      <c r="J112" t="s">
        <v>9</v>
      </c>
      <c r="K112" t="s">
        <v>11</v>
      </c>
    </row>
    <row r="113" spans="1:11">
      <c r="A113" s="2"/>
      <c r="B113" s="2"/>
      <c r="C113" s="2" t="s">
        <v>155</v>
      </c>
      <c r="D113" s="3" t="s">
        <v>294</v>
      </c>
      <c r="E113" t="s">
        <v>326</v>
      </c>
      <c r="F113">
        <v>1</v>
      </c>
      <c r="G113" s="1" t="s">
        <v>403</v>
      </c>
      <c r="H113" s="1" t="s">
        <v>451</v>
      </c>
      <c r="I113">
        <f>F113*VALUE(LEFT(H113, FIND(":", H113)-1))</f>
        <v>0</v>
      </c>
      <c r="J113" t="s">
        <v>9</v>
      </c>
      <c r="K113" t="s">
        <v>11</v>
      </c>
    </row>
    <row r="114" spans="1:11">
      <c r="A114" s="2"/>
      <c r="B114" s="2"/>
      <c r="C114" s="2" t="s">
        <v>156</v>
      </c>
      <c r="D114" s="3" t="s">
        <v>295</v>
      </c>
      <c r="E114" t="s">
        <v>326</v>
      </c>
      <c r="F114">
        <v>1</v>
      </c>
      <c r="G114" s="1" t="s">
        <v>404</v>
      </c>
      <c r="H114" s="1" t="s">
        <v>462</v>
      </c>
      <c r="I114">
        <f>F114*VALUE(LEFT(H114, FIND(":", H114)-1))</f>
        <v>0</v>
      </c>
      <c r="J114" t="s">
        <v>9</v>
      </c>
      <c r="K114" t="s">
        <v>11</v>
      </c>
    </row>
    <row r="115" spans="1:11">
      <c r="A115" s="2"/>
      <c r="B115" s="2"/>
      <c r="C115" s="2" t="s">
        <v>157</v>
      </c>
      <c r="D115" s="3" t="s">
        <v>296</v>
      </c>
      <c r="E115" t="s">
        <v>326</v>
      </c>
      <c r="F115">
        <v>1</v>
      </c>
      <c r="G115" s="1" t="s">
        <v>405</v>
      </c>
      <c r="H115" s="1" t="s">
        <v>462</v>
      </c>
      <c r="I115">
        <f>F115*VALUE(LEFT(H115, FIND(":", H115)-1))</f>
        <v>0</v>
      </c>
      <c r="J115" t="s">
        <v>9</v>
      </c>
      <c r="K115" t="s">
        <v>11</v>
      </c>
    </row>
    <row r="116" spans="1:11">
      <c r="A116" s="2"/>
      <c r="B116" s="2"/>
      <c r="C116" s="2" t="s">
        <v>158</v>
      </c>
      <c r="D116" s="3" t="s">
        <v>297</v>
      </c>
      <c r="E116" t="s">
        <v>326</v>
      </c>
      <c r="F116">
        <v>1</v>
      </c>
      <c r="G116" s="1" t="s">
        <v>406</v>
      </c>
      <c r="H116" s="1" t="s">
        <v>451</v>
      </c>
      <c r="I116">
        <f>F116*VALUE(LEFT(H116, FIND(":", H116)-1))</f>
        <v>0</v>
      </c>
      <c r="J116" t="s">
        <v>9</v>
      </c>
      <c r="K116" t="s">
        <v>11</v>
      </c>
    </row>
    <row r="117" spans="1:11">
      <c r="A117" s="2"/>
      <c r="B117" s="2"/>
      <c r="C117" s="2" t="s">
        <v>159</v>
      </c>
      <c r="D117" s="3" t="s">
        <v>298</v>
      </c>
      <c r="E117" t="s">
        <v>322</v>
      </c>
      <c r="F117">
        <v>1</v>
      </c>
      <c r="G117" s="1" t="s">
        <v>407</v>
      </c>
      <c r="H117" s="1" t="s">
        <v>451</v>
      </c>
      <c r="I117">
        <f>F117*VALUE(LEFT(H117, FIND(":", H117)-1))</f>
        <v>0</v>
      </c>
      <c r="J117" t="s">
        <v>9</v>
      </c>
      <c r="K117" t="s">
        <v>11</v>
      </c>
    </row>
    <row r="118" spans="1:11">
      <c r="A118" s="2"/>
      <c r="B118" s="2" t="s">
        <v>12</v>
      </c>
      <c r="C118" s="2" t="s">
        <v>160</v>
      </c>
      <c r="D118" s="3" t="s">
        <v>299</v>
      </c>
      <c r="E118" t="s">
        <v>322</v>
      </c>
      <c r="F118">
        <v>1</v>
      </c>
      <c r="G118" s="1" t="s">
        <v>408</v>
      </c>
      <c r="H118" s="1" t="s">
        <v>451</v>
      </c>
      <c r="I118">
        <f>F118*VALUE(LEFT(H118, FIND(":", H118)-1))</f>
        <v>0</v>
      </c>
      <c r="J118" t="s">
        <v>9</v>
      </c>
      <c r="K118" t="s">
        <v>12</v>
      </c>
    </row>
    <row r="119" spans="1:11">
      <c r="A119" s="2"/>
      <c r="B119" s="2"/>
      <c r="C119" s="2" t="s">
        <v>161</v>
      </c>
      <c r="D119" s="3" t="s">
        <v>300</v>
      </c>
      <c r="E119" t="s">
        <v>327</v>
      </c>
      <c r="F119">
        <v>1</v>
      </c>
      <c r="G119" s="1" t="s">
        <v>409</v>
      </c>
      <c r="H119" s="1" t="s">
        <v>451</v>
      </c>
      <c r="I119">
        <f>F119*VALUE(LEFT(H119, FIND(":", H119)-1))</f>
        <v>0</v>
      </c>
      <c r="J119" t="s">
        <v>9</v>
      </c>
      <c r="K119" t="s">
        <v>12</v>
      </c>
    </row>
    <row r="120" spans="1:11">
      <c r="A120" s="2"/>
      <c r="B120" s="2"/>
      <c r="C120" s="2" t="s">
        <v>162</v>
      </c>
      <c r="D120" s="3" t="s">
        <v>301</v>
      </c>
      <c r="E120" t="s">
        <v>322</v>
      </c>
      <c r="F120">
        <v>1</v>
      </c>
      <c r="G120" s="1" t="s">
        <v>410</v>
      </c>
      <c r="H120" s="1" t="s">
        <v>468</v>
      </c>
      <c r="I120">
        <f>F120*VALUE(LEFT(H120, FIND(":", H120)-1))</f>
        <v>0</v>
      </c>
      <c r="J120" t="s">
        <v>9</v>
      </c>
      <c r="K120" t="s">
        <v>12</v>
      </c>
    </row>
    <row r="121" spans="1:11">
      <c r="A121" s="2"/>
      <c r="B121" s="2"/>
      <c r="C121" s="2" t="s">
        <v>163</v>
      </c>
      <c r="D121" s="3" t="s">
        <v>302</v>
      </c>
      <c r="E121" t="s">
        <v>324</v>
      </c>
      <c r="F121">
        <v>1</v>
      </c>
      <c r="G121" s="1" t="s">
        <v>411</v>
      </c>
      <c r="H121" s="1" t="s">
        <v>451</v>
      </c>
      <c r="I121">
        <f>F121*VALUE(LEFT(H121, FIND(":", H121)-1))</f>
        <v>0</v>
      </c>
      <c r="J121" t="s">
        <v>9</v>
      </c>
      <c r="K121" t="s">
        <v>12</v>
      </c>
    </row>
    <row r="122" spans="1:11">
      <c r="A122" s="2"/>
      <c r="B122" s="2"/>
      <c r="C122" s="2" t="s">
        <v>164</v>
      </c>
      <c r="D122" s="3" t="s">
        <v>303</v>
      </c>
      <c r="E122" t="s">
        <v>324</v>
      </c>
      <c r="F122">
        <v>1</v>
      </c>
      <c r="G122" s="1" t="s">
        <v>412</v>
      </c>
      <c r="H122" s="1" t="s">
        <v>451</v>
      </c>
      <c r="I122">
        <f>F122*VALUE(LEFT(H122, FIND(":", H122)-1))</f>
        <v>0</v>
      </c>
      <c r="J122" t="s">
        <v>9</v>
      </c>
      <c r="K122" t="s">
        <v>12</v>
      </c>
    </row>
    <row r="123" spans="1:11">
      <c r="A123" s="2"/>
      <c r="B123" s="2"/>
      <c r="C123" s="2" t="s">
        <v>165</v>
      </c>
      <c r="D123" s="3" t="s">
        <v>304</v>
      </c>
      <c r="E123" t="s">
        <v>327</v>
      </c>
      <c r="F123">
        <v>1</v>
      </c>
      <c r="G123" s="1" t="s">
        <v>413</v>
      </c>
      <c r="H123" s="1" t="s">
        <v>451</v>
      </c>
      <c r="I123">
        <f>F123*VALUE(LEFT(H123, FIND(":", H123)-1))</f>
        <v>0</v>
      </c>
      <c r="J123" t="s">
        <v>9</v>
      </c>
      <c r="K123" t="s">
        <v>12</v>
      </c>
    </row>
    <row r="124" spans="1:11">
      <c r="A124" s="2"/>
      <c r="B124" s="2"/>
      <c r="C124" s="2" t="s">
        <v>166</v>
      </c>
      <c r="D124" s="3" t="s">
        <v>305</v>
      </c>
      <c r="E124" t="s">
        <v>324</v>
      </c>
      <c r="F124">
        <v>1</v>
      </c>
      <c r="G124" s="1" t="s">
        <v>414</v>
      </c>
      <c r="H124" s="1" t="s">
        <v>452</v>
      </c>
      <c r="I124">
        <f>F124*VALUE(LEFT(H124, FIND(":", H124)-1))</f>
        <v>0</v>
      </c>
      <c r="J124" t="s">
        <v>9</v>
      </c>
      <c r="K124" t="s">
        <v>12</v>
      </c>
    </row>
    <row r="125" spans="1:11">
      <c r="A125" s="2"/>
      <c r="B125" s="2" t="s">
        <v>16</v>
      </c>
      <c r="C125" s="2" t="s">
        <v>167</v>
      </c>
      <c r="D125" s="3" t="s">
        <v>306</v>
      </c>
      <c r="E125" t="s">
        <v>324</v>
      </c>
      <c r="F125">
        <v>1</v>
      </c>
      <c r="H125" s="1" t="s">
        <v>458</v>
      </c>
      <c r="I125">
        <f>F125*VALUE(LEFT(H125, FIND(":", H125)-1))</f>
        <v>0</v>
      </c>
      <c r="J125" t="s">
        <v>9</v>
      </c>
      <c r="K125" t="s">
        <v>16</v>
      </c>
    </row>
    <row r="126" spans="1:11">
      <c r="A126" s="2"/>
      <c r="B126" s="2"/>
      <c r="C126" s="2" t="s">
        <v>168</v>
      </c>
      <c r="D126" s="3" t="s">
        <v>307</v>
      </c>
      <c r="E126" t="s">
        <v>324</v>
      </c>
      <c r="F126">
        <v>1</v>
      </c>
      <c r="H126" s="1" t="s">
        <v>458</v>
      </c>
      <c r="I126">
        <f>F126*VALUE(LEFT(H126, FIND(":", H126)-1))</f>
        <v>0</v>
      </c>
      <c r="J126" t="s">
        <v>9</v>
      </c>
      <c r="K126" t="s">
        <v>16</v>
      </c>
    </row>
    <row r="127" spans="1:11">
      <c r="A127" s="2"/>
      <c r="B127" s="2"/>
      <c r="C127" s="2" t="s">
        <v>169</v>
      </c>
      <c r="D127" s="3" t="s">
        <v>308</v>
      </c>
      <c r="E127" t="s">
        <v>324</v>
      </c>
      <c r="F127">
        <v>1</v>
      </c>
      <c r="H127" s="1" t="s">
        <v>458</v>
      </c>
      <c r="I127">
        <f>F127*VALUE(LEFT(H127, FIND(":", H127)-1))</f>
        <v>0</v>
      </c>
      <c r="J127" t="s">
        <v>9</v>
      </c>
      <c r="K127" t="s">
        <v>16</v>
      </c>
    </row>
    <row r="128" spans="1:11">
      <c r="A128" s="2"/>
      <c r="B128" s="2"/>
      <c r="C128" s="2" t="s">
        <v>170</v>
      </c>
      <c r="D128" s="3" t="s">
        <v>309</v>
      </c>
      <c r="E128" t="s">
        <v>326</v>
      </c>
      <c r="F128">
        <v>1</v>
      </c>
      <c r="H128" s="1" t="s">
        <v>469</v>
      </c>
      <c r="I128">
        <f>F128*VALUE(LEFT(H128, FIND(":", H128)-1))</f>
        <v>0</v>
      </c>
      <c r="J128" t="s">
        <v>9</v>
      </c>
      <c r="K128" t="s">
        <v>16</v>
      </c>
    </row>
    <row r="129" spans="1:11">
      <c r="A129" s="2"/>
      <c r="B129" s="2"/>
      <c r="C129" s="2" t="s">
        <v>171</v>
      </c>
      <c r="D129" s="3" t="s">
        <v>310</v>
      </c>
      <c r="E129" t="s">
        <v>328</v>
      </c>
      <c r="F129">
        <v>1</v>
      </c>
      <c r="H129" s="1" t="s">
        <v>469</v>
      </c>
      <c r="I129">
        <f>F129*VALUE(LEFT(H129, FIND(":", H129)-1))</f>
        <v>0</v>
      </c>
      <c r="J129" t="s">
        <v>9</v>
      </c>
      <c r="K129" t="s">
        <v>16</v>
      </c>
    </row>
    <row r="130" spans="1:11">
      <c r="A130" s="2"/>
      <c r="B130" s="2"/>
      <c r="C130" s="2" t="s">
        <v>172</v>
      </c>
      <c r="D130" s="3" t="s">
        <v>311</v>
      </c>
      <c r="E130" t="s">
        <v>324</v>
      </c>
      <c r="F130">
        <v>1</v>
      </c>
      <c r="H130" s="1" t="s">
        <v>458</v>
      </c>
      <c r="I130">
        <f>F130*VALUE(LEFT(H130, FIND(":", H130)-1))</f>
        <v>0</v>
      </c>
      <c r="J130" t="s">
        <v>9</v>
      </c>
      <c r="K130" t="s">
        <v>16</v>
      </c>
    </row>
    <row r="131" spans="1:11">
      <c r="A131" s="2"/>
      <c r="B131" s="2"/>
      <c r="C131" s="2" t="s">
        <v>173</v>
      </c>
      <c r="D131" s="3" t="s">
        <v>312</v>
      </c>
      <c r="E131" t="s">
        <v>326</v>
      </c>
      <c r="F131">
        <v>1</v>
      </c>
      <c r="G131" s="1" t="s">
        <v>415</v>
      </c>
      <c r="H131" s="1" t="s">
        <v>451</v>
      </c>
      <c r="I131">
        <f>F131*VALUE(LEFT(H131, FIND(":", H131)-1))</f>
        <v>0</v>
      </c>
      <c r="J131" t="s">
        <v>9</v>
      </c>
      <c r="K131" t="s">
        <v>16</v>
      </c>
    </row>
    <row r="132" spans="1:11">
      <c r="A132" s="2"/>
      <c r="B132" s="2"/>
      <c r="C132" s="2" t="s">
        <v>174</v>
      </c>
      <c r="D132" s="3" t="s">
        <v>313</v>
      </c>
      <c r="E132" t="s">
        <v>326</v>
      </c>
      <c r="F132">
        <v>1</v>
      </c>
      <c r="G132" s="1" t="s">
        <v>416</v>
      </c>
      <c r="H132" s="1" t="s">
        <v>451</v>
      </c>
      <c r="I132">
        <f>F132*VALUE(LEFT(H132, FIND(":", H132)-1))</f>
        <v>0</v>
      </c>
      <c r="J132" t="s">
        <v>9</v>
      </c>
      <c r="K132" t="s">
        <v>16</v>
      </c>
    </row>
    <row r="133" spans="1:11">
      <c r="A133" s="2"/>
      <c r="B133" s="2"/>
      <c r="C133" s="2" t="s">
        <v>175</v>
      </c>
      <c r="D133" s="3" t="s">
        <v>314</v>
      </c>
      <c r="E133" t="s">
        <v>324</v>
      </c>
      <c r="F133">
        <v>1</v>
      </c>
      <c r="H133" s="1" t="s">
        <v>458</v>
      </c>
      <c r="I133">
        <f>F133*VALUE(LEFT(H133, FIND(":", H133)-1))</f>
        <v>0</v>
      </c>
      <c r="J133" t="s">
        <v>9</v>
      </c>
      <c r="K133" t="s">
        <v>16</v>
      </c>
    </row>
    <row r="134" spans="1:11">
      <c r="A134" s="2"/>
      <c r="B134" s="2" t="s">
        <v>29</v>
      </c>
      <c r="C134" s="2" t="s">
        <v>176</v>
      </c>
      <c r="D134" s="3" t="s">
        <v>315</v>
      </c>
      <c r="E134" t="s">
        <v>324</v>
      </c>
      <c r="F134">
        <v>1</v>
      </c>
      <c r="H134" s="1" t="s">
        <v>458</v>
      </c>
      <c r="I134">
        <f>F134*VALUE(LEFT(H134, FIND(":", H134)-1))</f>
        <v>0</v>
      </c>
      <c r="J134" t="s">
        <v>9</v>
      </c>
      <c r="K134" t="s">
        <v>29</v>
      </c>
    </row>
    <row r="135" spans="1:11">
      <c r="A135" s="2"/>
      <c r="B135" s="2"/>
      <c r="C135" s="2" t="s">
        <v>177</v>
      </c>
      <c r="D135" s="3" t="s">
        <v>316</v>
      </c>
      <c r="E135" t="s">
        <v>326</v>
      </c>
      <c r="F135">
        <v>1</v>
      </c>
      <c r="G135" s="1" t="s">
        <v>417</v>
      </c>
      <c r="H135" s="1" t="s">
        <v>451</v>
      </c>
      <c r="I135">
        <f>F135*VALUE(LEFT(H135, FIND(":", H135)-1))</f>
        <v>0</v>
      </c>
      <c r="J135" t="s">
        <v>9</v>
      </c>
      <c r="K135" t="s">
        <v>29</v>
      </c>
    </row>
    <row r="136" spans="1:11">
      <c r="A136" s="2"/>
      <c r="B136" s="2"/>
      <c r="C136" s="2" t="s">
        <v>178</v>
      </c>
      <c r="D136" s="3" t="s">
        <v>317</v>
      </c>
      <c r="E136" t="s">
        <v>326</v>
      </c>
      <c r="F136">
        <v>1</v>
      </c>
      <c r="G136" s="1" t="s">
        <v>418</v>
      </c>
      <c r="H136" s="1" t="s">
        <v>451</v>
      </c>
      <c r="I136">
        <f>F136*VALUE(LEFT(H136, FIND(":", H136)-1))</f>
        <v>0</v>
      </c>
      <c r="J136" t="s">
        <v>9</v>
      </c>
      <c r="K136" t="s">
        <v>29</v>
      </c>
    </row>
    <row r="137" spans="1:11">
      <c r="A137" s="2"/>
      <c r="B137" s="2"/>
      <c r="C137" s="2" t="s">
        <v>179</v>
      </c>
      <c r="D137" s="3" t="s">
        <v>318</v>
      </c>
      <c r="E137" t="s">
        <v>324</v>
      </c>
      <c r="F137">
        <v>1</v>
      </c>
      <c r="H137" s="1" t="s">
        <v>458</v>
      </c>
      <c r="I137">
        <f>F137*VALUE(LEFT(H137, FIND(":", H137)-1))</f>
        <v>0</v>
      </c>
      <c r="J137" t="s">
        <v>9</v>
      </c>
      <c r="K137" t="s">
        <v>29</v>
      </c>
    </row>
    <row r="138" spans="1:11">
      <c r="A138" s="2"/>
      <c r="B138" s="2"/>
      <c r="C138" s="2" t="s">
        <v>180</v>
      </c>
      <c r="D138" s="3" t="s">
        <v>319</v>
      </c>
      <c r="E138" t="s">
        <v>326</v>
      </c>
      <c r="F138">
        <v>1</v>
      </c>
      <c r="H138" s="1" t="s">
        <v>470</v>
      </c>
      <c r="I138">
        <f>F138*VALUE(LEFT(H138, FIND(":", H138)-1))</f>
        <v>0</v>
      </c>
      <c r="J138" t="s">
        <v>9</v>
      </c>
      <c r="K138" t="s">
        <v>29</v>
      </c>
    </row>
    <row r="139" spans="1:11">
      <c r="A139" s="2"/>
      <c r="B139" s="2"/>
      <c r="C139" s="2" t="s">
        <v>181</v>
      </c>
      <c r="D139" s="3" t="s">
        <v>320</v>
      </c>
      <c r="E139" t="s">
        <v>324</v>
      </c>
      <c r="F139">
        <v>1</v>
      </c>
      <c r="H139" s="1" t="s">
        <v>458</v>
      </c>
      <c r="I139">
        <f>F139*VALUE(LEFT(H139, FIND(":", H139)-1))</f>
        <v>0</v>
      </c>
      <c r="J139" t="s">
        <v>9</v>
      </c>
      <c r="K139" t="s">
        <v>29</v>
      </c>
    </row>
    <row r="140" spans="1:11">
      <c r="A140" s="2"/>
      <c r="B140" s="2"/>
      <c r="C140" s="2" t="s">
        <v>182</v>
      </c>
      <c r="D140" s="3" t="s">
        <v>321</v>
      </c>
      <c r="E140" t="s">
        <v>324</v>
      </c>
      <c r="F140">
        <v>1</v>
      </c>
      <c r="H140" s="1" t="s">
        <v>458</v>
      </c>
      <c r="I140">
        <f>F140*VALUE(LEFT(H140, FIND(":", H140)-1))</f>
        <v>0</v>
      </c>
      <c r="J140" t="s">
        <v>9</v>
      </c>
      <c r="K140" t="s">
        <v>29</v>
      </c>
    </row>
  </sheetData>
  <mergeCells count="26">
    <mergeCell ref="A2:A43"/>
    <mergeCell ref="A44:A79"/>
    <mergeCell ref="A80:A110"/>
    <mergeCell ref="A111:A140"/>
    <mergeCell ref="B2:B6"/>
    <mergeCell ref="B7:B11"/>
    <mergeCell ref="B12:B16"/>
    <mergeCell ref="B17:B22"/>
    <mergeCell ref="B23:B27"/>
    <mergeCell ref="B28:B33"/>
    <mergeCell ref="B34:B39"/>
    <mergeCell ref="B40:B43"/>
    <mergeCell ref="B44:B55"/>
    <mergeCell ref="B56:B61"/>
    <mergeCell ref="B62:B67"/>
    <mergeCell ref="B68:B73"/>
    <mergeCell ref="B74:B79"/>
    <mergeCell ref="B80:B85"/>
    <mergeCell ref="B86:B91"/>
    <mergeCell ref="B92:B97"/>
    <mergeCell ref="B98:B104"/>
    <mergeCell ref="B105:B110"/>
    <mergeCell ref="B111:B117"/>
    <mergeCell ref="B118:B124"/>
    <mergeCell ref="B125:B133"/>
    <mergeCell ref="B134:B140"/>
  </mergeCells>
  <dataValidations count="138">
    <dataValidation type="list" allowBlank="1" showInputMessage="1" showErrorMessage="1" sqref="H2">
      <formula1>"0: No items completed,2: 1 item completed,4: 2 items completed,6: 3 items completed,8: 4 items completed,10: 5 items completed"</formula1>
    </dataValidation>
    <dataValidation type="list" allowBlank="1" showInputMessage="1" showErrorMessage="1" sqref="H3">
      <formula1>"0: Low Maturity. Score Range (0-14),4: Developing. Score Range (15-30),7: Established. Score Range (31-42),10: Optimizing. Score Range (43-50)"</formula1>
    </dataValidation>
    <dataValidation type="list" allowBlank="1" showInputMessage="1" showErrorMessage="1" sqref="H4">
      <formula1>"0: No items completed,3: 1 item completed,5: 2 items completed,8: 3 items completed,10: 4 items completed"</formula1>
    </dataValidation>
    <dataValidation type="list" allowBlank="1" showInputMessage="1" showErrorMessage="1" sqref="H5">
      <formula1>"0: Not monitored,2: Reported,5: Manual remediation,10: Automated remediation"</formula1>
    </dataValidation>
    <dataValidation type="list" allowBlank="1" showInputMessage="1" showErrorMessage="1" sqref="H6">
      <formula1>"0: No items completed,2: 1 item completed,4: 2 items completed,6: 3 items completed,8: 4 items completed,10: 5 items completed"</formula1>
    </dataValidation>
    <dataValidation type="list" allowBlank="1" showInputMessage="1" showErrorMessage="1" sqref="H7">
      <formula1>"0: 0 items completed,3: 1 item completed,5: 2 items completed,8: 3 items completed,10: 4 items completed"</formula1>
    </dataValidation>
    <dataValidation type="list" allowBlank="1" showInputMessage="1" showErrorMessage="1" sqref="H8">
      <formula1>"0: No items completed,3: 1 item completed,5: 2 items completed,8: 3 items completed,10: 4 items completed"</formula1>
    </dataValidation>
    <dataValidation type="list" allowBlank="1" showInputMessage="1" showErrorMessage="1" sqref="H9">
      <formula1>"0: No items completed,4: 1 item completed,7: 2 items completed,10: 3 items completed"</formula1>
    </dataValidation>
    <dataValidation type="list" allowBlank="1" showInputMessage="1" showErrorMessage="1" sqref="H10">
      <formula1>"0: No items completed,3: item 1 completed,5: items 1-2 completed,8: items 1-3 completed,10: items 1-4 completed"</formula1>
    </dataValidation>
    <dataValidation type="list" allowBlank="1" showInputMessage="1" showErrorMessage="1" sqref="H11">
      <formula1>"0: No items completed,3: 1 item completed,5: 2 items completed,8: 3 items completed,10: 4 items completed"</formula1>
    </dataValidation>
    <dataValidation type="list" allowBlank="1" showInputMessage="1" showErrorMessage="1" sqref="H12">
      <formula1>"0: No items completed,2: 1 item completed,4: 2 items completed,6: 3 items completed,8: 4 items completed,10: 5 items completed"</formula1>
    </dataValidation>
    <dataValidation type="list" allowBlank="1" showInputMessage="1" showErrorMessage="1" sqref="H13">
      <formula1>"0: No items completed,2: 1 item completed,4: 2 items completed,6: 3 items completed,8: 4 items completed,10: 5 items completed"</formula1>
    </dataValidation>
    <dataValidation type="list" allowBlank="1" showInputMessage="1" showErrorMessage="1" sqref="H14">
      <formula1>"0: No items completed,3: 1 item completed,5: 2 items completed,8: 3 items completed,10: 4 items completed"</formula1>
    </dataValidation>
    <dataValidation type="list" allowBlank="1" showInputMessage="1" showErrorMessage="1" sqref="H15">
      <formula1>"0: No items completed,3: 1 item completed,5: 2 items completed,8: 3 items completed,10: 4 items completed"</formula1>
    </dataValidation>
    <dataValidation type="list" allowBlank="1" showInputMessage="1" showErrorMessage="1" sqref="H16">
      <formula1>"0: No items completed,3: 1 item completed,5: 2 items completed,8: 3 items completed,10: 4 items completed"</formula1>
    </dataValidation>
    <dataValidation type="list" allowBlank="1" showInputMessage="1" showErrorMessage="1" sqref="H17">
      <formula1>"0: No items completed,2: 1 item completed,4: 2 items completed,6: 3 items completed,8: 4 items completed,10: 5 items completed"</formula1>
    </dataValidation>
    <dataValidation type="list" allowBlank="1" showInputMessage="1" showErrorMessage="1" sqref="H18">
      <formula1>"0: No items completed,2: 1 item completed,4: 2 items completed,6: 3 items completed,8: 4 items completed,10: 5 items completed"</formula1>
    </dataValidation>
    <dataValidation type="list" allowBlank="1" showInputMessage="1" showErrorMessage="1" sqref="H19">
      <formula1>"0: No items completed,2: 1 item completed,4: 2 items completed,6: 3 items completed,8: 4 items completed,10: 5 items completed"</formula1>
    </dataValidation>
    <dataValidation type="list" allowBlank="1" showInputMessage="1" showErrorMessage="1" sqref="H20">
      <formula1>"0: No items completed,2: 1 item completed,4: 2 items completed,6: 3 items completed,8: 4 items completed,10: 5 items completed"</formula1>
    </dataValidation>
    <dataValidation type="list" allowBlank="1" showInputMessage="1" showErrorMessage="1" sqref="H21">
      <formula1>"0: No items completed,2: 1 item completed,4: 2 items completed,6: 3 items completed,8: 4 items completed,10: 5 items completed"</formula1>
    </dataValidation>
    <dataValidation type="list" allowBlank="1" showInputMessage="1" showErrorMessage="1" sqref="H22">
      <formula1>"0: No items completed,3: 1 item completed,5: 2 items completed,8: 3 items completed,10: 4 items completed"</formula1>
    </dataValidation>
    <dataValidation type="list" allowBlank="1" showInputMessage="1" showErrorMessage="1" sqref="H23">
      <formula1>"0: Low Maturity (0-9),4: Developing (10-18),7: Established (19-26),10: Optimizing (27-31)"</formula1>
    </dataValidation>
    <dataValidation type="list" allowBlank="1" showInputMessage="1" showErrorMessage="1" sqref="H24">
      <formula1>"0: Low Maturity. Score Range (0-8),4: Developing. Score Range (9-17),7: Established. Score Range (18-24),10: Optimizing. Score Range (25-29)"</formula1>
    </dataValidation>
    <dataValidation type="list" allowBlank="1" showInputMessage="1" showErrorMessage="1" sqref="H25">
      <formula1>"0: Low Maturity. Score Range (0-15),4: Developing. Score Range (16-31),7: Established. Score Range (32-44),10: Optimizing. Score Range (45-52)"</formula1>
    </dataValidation>
    <dataValidation type="list" allowBlank="1" showInputMessage="1" showErrorMessage="1" sqref="H26">
      <formula1>"0: No items completed,2: 1 item completed,4: 2 items completed,6: 3 items completed,8: 4 items completed,10: 5 items completed"</formula1>
    </dataValidation>
    <dataValidation type="list" allowBlank="1" showInputMessage="1" showErrorMessage="1" sqref="H27">
      <formula1>"0: Not done,10: Completed"</formula1>
    </dataValidation>
    <dataValidation type="list" allowBlank="1" showInputMessage="1" showErrorMessage="1" sqref="H28">
      <formula1>"0: No items completed,2: item 1 completed,4: items 1-2 completed,6: items 1-3 completed,8: items 1-4 completed,10: items 1-5 completed"</formula1>
    </dataValidation>
    <dataValidation type="list" allowBlank="1" showInputMessage="1" showErrorMessage="1" sqref="H29">
      <formula1>"0: No items completed,2: 1 item completed,4: 2 items completed,6: 3 items completed,8: 4 items completed,10: 5 items completed"</formula1>
    </dataValidation>
    <dataValidation type="list" allowBlank="1" showInputMessage="1" showErrorMessage="1" sqref="H30">
      <formula1>"0: No items completed,4: 1 item completed,7: 2 items completed,10: 3 items completed"</formula1>
    </dataValidation>
    <dataValidation type="list" allowBlank="1" showInputMessage="1" showErrorMessage="1" sqref="H31">
      <formula1>"0: No items completed,4: 1 item completed,7: 2 items completed,10: 3 items completed"</formula1>
    </dataValidation>
    <dataValidation type="list" allowBlank="1" showInputMessage="1" showErrorMessage="1" sqref="H32">
      <formula1>"0: No items completed,3: item 1 completed,5: items 1-2 completed,8: items 1-3 completed,10: items 1-4 completed"</formula1>
    </dataValidation>
    <dataValidation type="list" allowBlank="1" showInputMessage="1" showErrorMessage="1" sqref="H33">
      <formula1>"0: No items completed,4: 1 item completed,7: 2 items completed,10: 3 items completed"</formula1>
    </dataValidation>
    <dataValidation type="list" allowBlank="1" showInputMessage="1" showErrorMessage="1" sqref="H34">
      <formula1>"0: No items completed,2: 1 item completed,4: 2 items completed,6: 3 items completed,8: 4 items completed,10: 5 items completed"</formula1>
    </dataValidation>
    <dataValidation type="list" allowBlank="1" showInputMessage="1" showErrorMessage="1" sqref="H35">
      <formula1>"0: No items completed,2: 1 item completed,4: 2 items completed,6: 3 items completed,8: 4 items completed,10: 5 items completed"</formula1>
    </dataValidation>
    <dataValidation type="list" allowBlank="1" showInputMessage="1" showErrorMessage="1" sqref="H36">
      <formula1>"0: No items completed,2: 1 item completed,4: 2 items completed,6: 3 items completed,8: 4 items completed,10: 5 items completed"</formula1>
    </dataValidation>
    <dataValidation type="list" allowBlank="1" showInputMessage="1" showErrorMessage="1" sqref="H38">
      <formula1>"0: No items completed,2: 1 item completed,4: 2 items completed,6: 3 items completed,8: 4 items completed,10: 5 items completed"</formula1>
    </dataValidation>
    <dataValidation type="list" allowBlank="1" showInputMessage="1" showErrorMessage="1" sqref="H39">
      <formula1>"0: Low Maturity. Score Range (0-14),4: Developing. Score Range (15-30),7: Established. Score Range (31-42),10: Optimizing. Score Range (43-50)"</formula1>
    </dataValidation>
    <dataValidation type="list" allowBlank="1" showInputMessage="1" showErrorMessage="1" sqref="H40">
      <formula1>"0: No executive sponsor identified,10: Executive sponsor formally identified and actively engaged"</formula1>
    </dataValidation>
    <dataValidation type="list" allowBlank="1" showInputMessage="1" showErrorMessage="1" sqref="H41">
      <formula1>"0: No items completed,4: 1 item completed,7: 2 items completed,10: 3 items completed"</formula1>
    </dataValidation>
    <dataValidation type="list" allowBlank="1" showInputMessage="1" showErrorMessage="1" sqref="H42">
      <formula1>"0: No items completed,4: 1 item completed,7: 2 items completed,10: 3 items completed"</formula1>
    </dataValidation>
    <dataValidation type="list" allowBlank="1" showInputMessage="1" showErrorMessage="1" sqref="H43">
      <formula1>"0: No items completed,4: 1 item completed,7: 2 items completed,10: 3 items completed"</formula1>
    </dataValidation>
    <dataValidation type="list" allowBlank="1" showInputMessage="1" showErrorMessage="1" sqref="H44">
      <formula1>"0: No items completed,2: 1 item completed,4: 2 items completed,6: 3 items completed,8: 4 items completed,10: 5 items completed"</formula1>
    </dataValidation>
    <dataValidation type="list" allowBlank="1" showInputMessage="1" showErrorMessage="1" sqref="H45">
      <formula1>"0: No items completed,2: 1 item completed,4: 2 items completed,6: 3 items completed,8: 4 items completed,10: 5 items completed"</formula1>
    </dataValidation>
    <dataValidation type="list" allowBlank="1" showInputMessage="1" showErrorMessage="1" sqref="H46">
      <formula1>"0: No documented method,10: Documented method of assessing modernization efforts"</formula1>
    </dataValidation>
    <dataValidation type="list" allowBlank="1" showInputMessage="1" showErrorMessage="1" sqref="H47">
      <formula1>"0: No items completed,2: 1 item completed,4: 2 items completed,6: 3 items completed,8: 4 items completed,10: 5 items completed"</formula1>
    </dataValidation>
    <dataValidation type="list" allowBlank="1" showInputMessage="1" showErrorMessage="1" sqref="H48">
      <formula1>"0: No items completed,3: 1 item completed,5: 2 items completed,8: 3 items completed,10: 4 items completed"</formula1>
    </dataValidation>
    <dataValidation type="list" allowBlank="1" showInputMessage="1" showErrorMessage="1" sqref="H49">
      <formula1>"0: Not done,10: Completed"</formula1>
    </dataValidation>
    <dataValidation type="list" allowBlank="1" showInputMessage="1" showErrorMessage="1" sqref="H50">
      <formula1>"0: Not done,10: Completed"</formula1>
    </dataValidation>
    <dataValidation type="list" allowBlank="1" showInputMessage="1" showErrorMessage="1" sqref="H51">
      <formula1>"0: Not done,10: Completed"</formula1>
    </dataValidation>
    <dataValidation type="list" allowBlank="1" showInputMessage="1" showErrorMessage="1" sqref="H52">
      <formula1>"0: No items completed,4: 1 item completed,7: 2 items completed,10: 3 items completed"</formula1>
    </dataValidation>
    <dataValidation type="list" allowBlank="1" showInputMessage="1" showErrorMessage="1" sqref="H53">
      <formula1>"0: Not done,10: Completed"</formula1>
    </dataValidation>
    <dataValidation type="list" allowBlank="1" showInputMessage="1" showErrorMessage="1" sqref="H54">
      <formula1>"0: Not done,10: Completed"</formula1>
    </dataValidation>
    <dataValidation type="list" allowBlank="1" showInputMessage="1" showErrorMessage="1" sqref="H55">
      <formula1>"0: Not done,10: Completed"</formula1>
    </dataValidation>
    <dataValidation type="list" allowBlank="1" showInputMessage="1" showErrorMessage="1" sqref="H56">
      <formula1>"0: Not done,10: Completed"</formula1>
    </dataValidation>
    <dataValidation type="list" allowBlank="1" showInputMessage="1" showErrorMessage="1" sqref="H57">
      <formula1>"0: Not done,10: Completed"</formula1>
    </dataValidation>
    <dataValidation type="list" allowBlank="1" showInputMessage="1" showErrorMessage="1" sqref="H58">
      <formula1>"0: Not done,10: Completed"</formula1>
    </dataValidation>
    <dataValidation type="list" allowBlank="1" showInputMessage="1" showErrorMessage="1" sqref="H59">
      <formula1>"0: Not done,10: Completed"</formula1>
    </dataValidation>
    <dataValidation type="list" allowBlank="1" showInputMessage="1" showErrorMessage="1" sqref="H60">
      <formula1>"0: Not done,10: Completed"</formula1>
    </dataValidation>
    <dataValidation type="list" allowBlank="1" showInputMessage="1" showErrorMessage="1" sqref="H61">
      <formula1>"0: Not done,10: Completed"</formula1>
    </dataValidation>
    <dataValidation type="list" allowBlank="1" showInputMessage="1" showErrorMessage="1" sqref="H62">
      <formula1>"0: 0%,1: 10%,2: 20%,3: 30%,4: 40%,5: 50%,6: 60%,7: 70%,8: 80%,9: 90%,10: Near 100%"</formula1>
    </dataValidation>
    <dataValidation type="list" allowBlank="1" showInputMessage="1" showErrorMessage="1" sqref="H63">
      <formula1>"0: No items completed,2: 1 item completed,4: 2 items completed,6: 3 items completed,8: 4 items completed,10: 5 items completed"</formula1>
    </dataValidation>
    <dataValidation type="list" allowBlank="1" showInputMessage="1" showErrorMessage="1" sqref="H64">
      <formula1>"0: No items completed,2: 1 item completed,4: 2 items completed,6: 3 items completed,8: 4 items completed,10: 5 items completed"</formula1>
    </dataValidation>
    <dataValidation type="list" allowBlank="1" showInputMessage="1" showErrorMessage="1" sqref="H65">
      <formula1>"0: No items completed,2: 1 item completed,4: 2 items completed,6: 3 items completed,8: 4 items completed,10: 5 items completed"</formula1>
    </dataValidation>
    <dataValidation type="list" allowBlank="1" showInputMessage="1" showErrorMessage="1" sqref="H66">
      <formula1>"0: No items completed,3: 1 item completed,5: 2 items completed,8: 3 items completed,10: 4 items completed"</formula1>
    </dataValidation>
    <dataValidation type="list" allowBlank="1" showInputMessage="1" showErrorMessage="1" sqref="H67">
      <formula1>"0: No items completed,2: 1 item completed,4: 2 items completed,6: 3 items completed,8: 4 items completed,10: 5 items completed"</formula1>
    </dataValidation>
    <dataValidation type="list" allowBlank="1" showInputMessage="1" showErrorMessage="1" sqref="H68">
      <formula1>"0: Not done,10: Policy in place and published"</formula1>
    </dataValidation>
    <dataValidation type="list" allowBlank="1" showInputMessage="1" showErrorMessage="1" sqref="H69">
      <formula1>"0: Not done,10: Policy in place and published"</formula1>
    </dataValidation>
    <dataValidation type="list" allowBlank="1" showInputMessage="1" showErrorMessage="1" sqref="H70">
      <formula1>"0: Low Maturity. Score Range (0-14),4: Developing. Score Range (15-30),7: Established. Score Range (31-42),10: Optimizing. Score Range (43-50)"</formula1>
    </dataValidation>
    <dataValidation type="list" allowBlank="1" showInputMessage="1" showErrorMessage="1" sqref="H71">
      <formula1>"0: No items completed,2: 1 item completed,4: 2 items completed,6: 3 items completed,8: 4 items completed,10: 5 items completed"</formula1>
    </dataValidation>
    <dataValidation type="list" allowBlank="1" showInputMessage="1" showErrorMessage="1" sqref="H72">
      <formula1>"0: No items completed,3: 1 item completed,5: 2 items completed,8: 3 items completed,10: 4 items completed"</formula1>
    </dataValidation>
    <dataValidation type="list" allowBlank="1" showInputMessage="1" showErrorMessage="1" sqref="H73">
      <formula1>"0: No items completed,2: 1 item completed,4: 2 items completed,6: 3 items completed,8: 4 items completed,10: 5 items completed"</formula1>
    </dataValidation>
    <dataValidation type="list" allowBlank="1" showInputMessage="1" showErrorMessage="1" sqref="H74">
      <formula1>"0: Not done,10: Completed"</formula1>
    </dataValidation>
    <dataValidation type="list" allowBlank="1" showInputMessage="1" showErrorMessage="1" sqref="H75">
      <formula1>"0: No teardown/shutdown policy,3: Published policy,6: Classification tagged or otherwise identifiable,10: Enforced Policy with tagged/identifiable classifications"</formula1>
    </dataValidation>
    <dataValidation type="list" allowBlank="1" showInputMessage="1" showErrorMessage="1" sqref="H76">
      <formula1>"0: 0%,1: 10%,2: 20%,3: 30%,4: 40%,5: 50%,6: 60%,7: 70%,8: 80%,9: 90%,10: Near 100%"</formula1>
    </dataValidation>
    <dataValidation type="list" allowBlank="1" showInputMessage="1" showErrorMessage="1" sqref="H77">
      <formula1>"0: Not done,10: Completed"</formula1>
    </dataValidation>
    <dataValidation type="list" allowBlank="1" showInputMessage="1" showErrorMessage="1" sqref="H78">
      <formula1>"0: Not done,10: Completed"</formula1>
    </dataValidation>
    <dataValidation type="list" allowBlank="1" showInputMessage="1" showErrorMessage="1" sqref="H79">
      <formula1>"0: Not done,10: Completed"</formula1>
    </dataValidation>
    <dataValidation type="list" allowBlank="1" showInputMessage="1" showErrorMessage="1" sqref="H80">
      <formula1>"0: Not done,10: Completed"</formula1>
    </dataValidation>
    <dataValidation type="list" allowBlank="1" showInputMessage="1" showErrorMessage="1" sqref="H81">
      <formula1>"0: Not done,10: Completed"</formula1>
    </dataValidation>
    <dataValidation type="list" allowBlank="1" showInputMessage="1" showErrorMessage="1" sqref="H82">
      <formula1>"0: Not done,10: Completed"</formula1>
    </dataValidation>
    <dataValidation type="list" allowBlank="1" showInputMessage="1" showErrorMessage="1" sqref="H83">
      <formula1>"0: Not done,10: Completed"</formula1>
    </dataValidation>
    <dataValidation type="list" allowBlank="1" showInputMessage="1" showErrorMessage="1" sqref="H84">
      <formula1>"0: No review of trends,3: Manual review of trends,6: Automated trend detection,10: Manual review and automated trend detection"</formula1>
    </dataValidation>
    <dataValidation type="list" allowBlank="1" showInputMessage="1" showErrorMessage="1" sqref="H85">
      <formula1>"0: Not done,10: Completed"</formula1>
    </dataValidation>
    <dataValidation type="list" allowBlank="1" showInputMessage="1" showErrorMessage="1" sqref="H86">
      <formula1>"0: Does not exist,10: Exists"</formula1>
    </dataValidation>
    <dataValidation type="list" allowBlank="1" showInputMessage="1" showErrorMessage="1" sqref="H87">
      <formula1>"0: Does not exist,10: Exists"</formula1>
    </dataValidation>
    <dataValidation type="list" allowBlank="1" showInputMessage="1" showErrorMessage="1" sqref="H88">
      <formula1>"0: Not done,10: Completed"</formula1>
    </dataValidation>
    <dataValidation type="list" allowBlank="1" showInputMessage="1" showErrorMessage="1" sqref="H89">
      <formula1>"0: Not done,10: Completed"</formula1>
    </dataValidation>
    <dataValidation type="list" allowBlank="1" showInputMessage="1" showErrorMessage="1" sqref="H90">
      <formula1>"0: Not done,10: Completed"</formula1>
    </dataValidation>
    <dataValidation type="list" allowBlank="1" showInputMessage="1" showErrorMessage="1" sqref="H91">
      <formula1>"0: Not done,10: Completed"</formula1>
    </dataValidation>
    <dataValidation type="list" allowBlank="1" showInputMessage="1" showErrorMessage="1" sqref="H92">
      <formula1>"0: No items completed,3: 1 item completed,5: 2 items completed,8: 3 items completed,10: 4 items completed"</formula1>
    </dataValidation>
    <dataValidation type="list" allowBlank="1" showInputMessage="1" showErrorMessage="1" sqref="H93">
      <formula1>"0: No items completed,3: 1 item completed,5: 2 items completed,8: 3 items completed,10: 4 items completed"</formula1>
    </dataValidation>
    <dataValidation type="list" allowBlank="1" showInputMessage="1" showErrorMessage="1" sqref="H94">
      <formula1>"0: None,1: Annual,2: Quarterly,5: Monthly,7: Bi-Weekly,8: Weekly,10: Daily"</formula1>
    </dataValidation>
    <dataValidation type="list" allowBlank="1" showInputMessage="1" showErrorMessage="1" sqref="H95">
      <formula1>"0: 0%,1: 10%,2: 20%,3: 30%,4: 40%,5: 50%,6: 60%,7: 70%,8: 80%,9: 90%,10: Near 100%"</formula1>
    </dataValidation>
    <dataValidation type="list" allowBlank="1" showInputMessage="1" showErrorMessage="1" sqref="H96">
      <formula1>"0: No alerting,10: Alerting exists"</formula1>
    </dataValidation>
    <dataValidation type="list" allowBlank="1" showInputMessage="1" showErrorMessage="1" sqref="H97">
      <formula1>"0: No items completed,3: 1 item completed,5: 2 items completed,8: 3 items completed,10: 4 items completed"</formula1>
    </dataValidation>
    <dataValidation type="list" allowBlank="1" showInputMessage="1" showErrorMessage="1" sqref="H98">
      <formula1>"0: No items completed,2: 1 item completed,4: 2 items completed,6: 3 items completed,8: 4 items completed,10: 5 items completed"</formula1>
    </dataValidation>
    <dataValidation type="list" allowBlank="1" showInputMessage="1" showErrorMessage="1" sqref="H99">
      <formula1>"0: No items completed,2: 1 item completed,4: 2 items completed,6: 3 items completed,8: 4 items completed,10: 5 items completed"</formula1>
    </dataValidation>
    <dataValidation type="list" allowBlank="1" showInputMessage="1" showErrorMessage="1" sqref="H100">
      <formula1>"0: No items completed,2: 1 item completed,4: 2 items completed,6: 3 items completed,8: 4 items completed,10: 5 items completed"</formula1>
    </dataValidation>
    <dataValidation type="list" allowBlank="1" showInputMessage="1" showErrorMessage="1" sqref="H101">
      <formula1>"0: No items completed,5: item 1 completed,10: item 2 completed"</formula1>
    </dataValidation>
    <dataValidation type="list" allowBlank="1" showInputMessage="1" showErrorMessage="1" sqref="H102">
      <formula1>"0: No items completed,4: 1 item completed,7: 2 items completed,10: 3 items completed"</formula1>
    </dataValidation>
    <dataValidation type="list" allowBlank="1" showInputMessage="1" showErrorMessage="1" sqref="H103">
      <formula1>"0: 0%,1: 10%,2: 20%,3: 30%,4: 40%,5: 50%,6: 60%,7: 70%,8: 80%,9: 90%,10: Near 100%"</formula1>
    </dataValidation>
    <dataValidation type="list" allowBlank="1" showInputMessage="1" showErrorMessage="1" sqref="H104">
      <formula1>"0: No items completed,3: 1 item completed,5: 2 items completed,8: 3 items completed,10: 4 items completed"</formula1>
    </dataValidation>
    <dataValidation type="list" allowBlank="1" showInputMessage="1" showErrorMessage="1" sqref="H105">
      <formula1>"0: No items completed,3: 1 item completed,5: 2 items completed,8: 3 items completed,10: 4 items completed"</formula1>
    </dataValidation>
    <dataValidation type="list" allowBlank="1" showInputMessage="1" showErrorMessage="1" sqref="H106">
      <formula1>"0: No items completed,2: 1 item completed,4: 2 items completed,5: 3 items completed,7: 4 items completed,9: 5 items completed,10: 6 items completed"</formula1>
    </dataValidation>
    <dataValidation type="list" allowBlank="1" showInputMessage="1" showErrorMessage="1" sqref="H107">
      <formula1>"0: No items completed,2: 1 item completed,4: 2 items completed,5: 3 items completed,7: 4 items completed,9: 5 items completed,10: 6 items completed"</formula1>
    </dataValidation>
    <dataValidation type="list" allowBlank="1" showInputMessage="1" showErrorMessage="1" sqref="H108">
      <formula1>"0: No items completed,3: 1 item completed,5: 2 items completed,8: 3 items completed,10: 4 items completed"</formula1>
    </dataValidation>
    <dataValidation type="list" allowBlank="1" showInputMessage="1" showErrorMessage="1" sqref="H109">
      <formula1>"0: No items completed,3: 1 item completed,5: 2 items completed,8: 3 items completed,10: 4 items completed"</formula1>
    </dataValidation>
    <dataValidation type="list" allowBlank="1" showInputMessage="1" showErrorMessage="1" sqref="H110">
      <formula1>"0: No items completed,2: 1 item completed,4: 2 items completed,6: 3 items completed,8: 4 items completed,10: 5 items completed"</formula1>
    </dataValidation>
    <dataValidation type="list" allowBlank="1" showInputMessage="1" showErrorMessage="1" sqref="H111">
      <formula1>"0: No items completed,5: 1 item completed,10: 2 items completed"</formula1>
    </dataValidation>
    <dataValidation type="list" allowBlank="1" showInputMessage="1" showErrorMessage="1" sqref="H112">
      <formula1>"0: 0%,1: 10%,2: 20%,3: 30%,4: 40%,5: 50%,6: 60%,7: 70%,8: 80% ,9: 90%,10: Near 100%"</formula1>
    </dataValidation>
    <dataValidation type="list" allowBlank="1" showInputMessage="1" showErrorMessage="1" sqref="H113">
      <formula1>"0: No items completed,5: 1 item  completed,10: 2 items completed"</formula1>
    </dataValidation>
    <dataValidation type="list" allowBlank="1" showInputMessage="1" showErrorMessage="1" sqref="H114">
      <formula1>"0: 0%,1: 10%,2: 20%,3: 30%,4: 40%,5: 50%,6: 60%,7: 70%,8: 80%,9: 90%,10: Near 100%"</formula1>
    </dataValidation>
    <dataValidation type="list" allowBlank="1" showInputMessage="1" showErrorMessage="1" sqref="H115">
      <formula1>"0: 0%,1: 10%,2: 20%,3: 30%,4: 40%,5: 50%,6: 60%,7: 70%,8: 80%,9: 90%,10: Near 100%"</formula1>
    </dataValidation>
    <dataValidation type="list" allowBlank="1" showInputMessage="1" showErrorMessage="1" sqref="H116">
      <formula1>"0: No items completed,3: 1 item completed,5: 2 items completed,8: 3 items completed,10: 4 items completed"</formula1>
    </dataValidation>
    <dataValidation type="list" allowBlank="1" showInputMessage="1" showErrorMessage="1" sqref="H117">
      <formula1>"0: No items completed,3: 1 item completed,5: 2 items completed,8: 3 items completed,10: 4 items completed"</formula1>
    </dataValidation>
    <dataValidation type="list" allowBlank="1" showInputMessage="1" showErrorMessage="1" sqref="H118">
      <formula1>"0: No items completed,3: 1 item completed,5: 2 items completed,8: 3 items completed,10: 4 items completed"</formula1>
    </dataValidation>
    <dataValidation type="list" allowBlank="1" showInputMessage="1" showErrorMessage="1" sqref="H119">
      <formula1>"0: No items completed,2: 1 item completed,4: 2 items completed,5: 3 items completed,7: 4 items completed,9: 5 items completed,10: 6 items completed"</formula1>
    </dataValidation>
    <dataValidation type="list" allowBlank="1" showInputMessage="1" showErrorMessage="1" sqref="H120">
      <formula1>"0: No alerting to any owners,1: Alerting in at least one owner,3: Alerting to some owners [&gt;20%],6: Alerting to most owners [&gt;60%],10: Alerting to all owners [100%]"</formula1>
    </dataValidation>
    <dataValidation type="list" allowBlank="1" showInputMessage="1" showErrorMessage="1" sqref="H121">
      <formula1>"0: No items completed,2: 1 item completed,4: 2 items completed,5: 3 items completed,7: 4 items completed,9: 5 items completed,10: 6 items completed"</formula1>
    </dataValidation>
    <dataValidation type="list" allowBlank="1" showInputMessage="1" showErrorMessage="1" sqref="H122">
      <formula1>"0: No items completed,2: item 1 completed,4: items 1-2 completed,6: items 1-3 completed,8: items 1-4 completed,10: items 1-5 completed"</formula1>
    </dataValidation>
    <dataValidation type="list" allowBlank="1" showInputMessage="1" showErrorMessage="1" sqref="H123">
      <formula1>"0: No items completed,2: 1 item completed,3: 2 items completed,4: 3 items completed,5: 4 items completed,7: 5 items completed,8: 6 items completed,9: 7 items completed,10: 8 items completed"</formula1>
    </dataValidation>
    <dataValidation type="list" allowBlank="1" showInputMessage="1" showErrorMessage="1" sqref="H124">
      <formula1>"0: Low Maturity. Score Range (0-14),4: Developing. Score Range (15-30),7: Established. Score Range (31-42),10: Optimizing. Score Range (43-50)"</formula1>
    </dataValidation>
    <dataValidation type="list" allowBlank="1" showInputMessage="1" showErrorMessage="1" sqref="H125">
      <formula1>"0: Not done,10: Completed"</formula1>
    </dataValidation>
    <dataValidation type="list" allowBlank="1" showInputMessage="1" showErrorMessage="1" sqref="H126">
      <formula1>"0: Not done,10: Completed"</formula1>
    </dataValidation>
    <dataValidation type="list" allowBlank="1" showInputMessage="1" showErrorMessage="1" sqref="H127">
      <formula1>"0: Not done,10: Completed"</formula1>
    </dataValidation>
    <dataValidation type="list" allowBlank="1" showInputMessage="1" showErrorMessage="1" sqref="H128">
      <formula1>"0: Never,1: Monthly or greater,2: More than a week,3: 7 days,4: 5 days,6: 2 days,8: 1 day,10: Instant"</formula1>
    </dataValidation>
    <dataValidation type="list" allowBlank="1" showInputMessage="1" showErrorMessage="1" sqref="H129">
      <formula1>"0: Never,1: Monthly or greater,2: More than a week,3: 7 days,4: 5 days,6: 2 days,8: 1 day,10: Instant"</formula1>
    </dataValidation>
    <dataValidation type="list" allowBlank="1" showInputMessage="1" showErrorMessage="1" sqref="H130">
      <formula1>"0: Not done,10: Completed"</formula1>
    </dataValidation>
    <dataValidation type="list" allowBlank="1" showInputMessage="1" showErrorMessage="1" sqref="H131">
      <formula1>"0: No items completed,2: 1 items completed,3: 2 items completed,5: 3 items completed,6: 4 items completed,8: 5 items completed,9: 6 items completed,10: 7 items completed"</formula1>
    </dataValidation>
    <dataValidation type="list" allowBlank="1" showInputMessage="1" showErrorMessage="1" sqref="H132">
      <formula1>"0: No items completed,2: 1 items completed,3: 2 items completed,5: 3 items completed,6: 4 items completed,8: 5 items completed,9: 6 items completed,10: 7 items completed"</formula1>
    </dataValidation>
    <dataValidation type="list" allowBlank="1" showInputMessage="1" showErrorMessage="1" sqref="H133">
      <formula1>"0: Not done,10: Completed"</formula1>
    </dataValidation>
    <dataValidation type="list" allowBlank="1" showInputMessage="1" showErrorMessage="1" sqref="H134">
      <formula1>"0: Not done,10: Completed"</formula1>
    </dataValidation>
    <dataValidation type="list" allowBlank="1" showInputMessage="1" showErrorMessage="1" sqref="H135">
      <formula1>"0: No items completed,3: 1 item completed,5: 2 items completed,8: 3 items completed,10: 4 items completed"</formula1>
    </dataValidation>
    <dataValidation type="list" allowBlank="1" showInputMessage="1" showErrorMessage="1" sqref="H136">
      <formula1>"0: No items completed,3: 1 item completed,5: 2 items completed,8: 3 items completed,10: 4 items completed"</formula1>
    </dataValidation>
    <dataValidation type="list" allowBlank="1" showInputMessage="1" showErrorMessage="1" sqref="H137">
      <formula1>"0: Not done,10: Completed"</formula1>
    </dataValidation>
    <dataValidation type="list" allowBlank="1" showInputMessage="1" showErrorMessage="1" sqref="H138">
      <formula1>"0: No alerting in workflow tools,1: Alerting in at least one tool,3: Alerting in some tooling [&gt;20%],6: Alerting in most tooling [&gt;60%],10: Alerting in all workflow tools [100%]"</formula1>
    </dataValidation>
    <dataValidation type="list" allowBlank="1" showInputMessage="1" showErrorMessage="1" sqref="H139">
      <formula1>"0: Not done,10: Completed"</formula1>
    </dataValidation>
    <dataValidation type="list" allowBlank="1" showInputMessage="1" showErrorMessage="1" sqref="H140">
      <formula1>"0: Not done,10: Completed"</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s>
  <pageMargins left="0.7" right="0.7" top="0.75" bottom="0.75" header="0.3" footer="0.3"/>
  <ignoredErrors>
    <ignoredError sqref="D:D"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2</vt:i4>
      </vt:variant>
    </vt:vector>
  </HeadingPairs>
  <TitlesOfParts>
    <vt:vector size="4" baseType="lpstr">
      <vt:lpstr>Overview</vt:lpstr>
      <vt:lpstr>Scoring</vt:lpstr>
      <vt:lpstr>Maturity - Domains</vt:lpstr>
      <vt:lpstr>Maturity - Capabilities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2026-10-20T00:12:41Z</dcterms:created>
  <dcterms:modified xsi:type="dcterms:W3CDTF">2026-10-20T00:12:41Z</dcterms:modified>
</cp:coreProperties>
</file>