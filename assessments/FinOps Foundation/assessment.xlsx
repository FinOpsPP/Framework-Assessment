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<sst xmlns="http://schemas.openxmlformats.org/spreadsheetml/2006/main" count="1229" uniqueCount="424">
  <si>
    <t>Sum of Weights</t>
  </si>
  <si>
    <t>Maximum Possible Score</t>
  </si>
  <si>
    <t>Calculated Weighted Average Score</t>
  </si>
  <si>
    <t>Difference from Maximum Score</t>
  </si>
  <si>
    <t>Domain</t>
  </si>
  <si>
    <t>Action Count</t>
  </si>
  <si>
    <t>Manage the FinOps Practice</t>
  </si>
  <si>
    <t>Optimize Usage &amp; Cost</t>
  </si>
  <si>
    <t>Quantify Business Value</t>
  </si>
  <si>
    <t>Understand 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</si>
  <si>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</si>
  <si>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</si>
  <si>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</si>
  <si>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</si>
  <si>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</si>
  <si>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</si>
  <si>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</si>
  <si>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</si>
  <si>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</si>
  <si>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</si>
  <si>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</si>
  <si>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</si>
  <si>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Governance, Policy &amp; Risk</t>
  </si>
  <si>
    <t>Intersecting Disciplines</t>
  </si>
  <si>
    <t>Invoicing &amp; Chargeback</t>
  </si>
  <si>
    <t>KPIs &amp; Benchmarking</t>
  </si>
  <si>
    <t>Licensing &amp; SaaS</t>
  </si>
  <si>
    <t>Planning &amp; Estimating</t>
  </si>
  <si>
    <t>Rate Optimization</t>
  </si>
  <si>
    <t>Reporting &amp; Analytics</t>
  </si>
  <si>
    <t>Sustainability</t>
  </si>
  <si>
    <t>Unit Economics</t>
  </si>
  <si>
    <t>Usage Optimization</t>
  </si>
  <si>
    <t>serial number</t>
  </si>
  <si>
    <t>version</t>
  </si>
  <si>
    <t>weights</t>
  </si>
  <si>
    <t>formula</t>
  </si>
  <si>
    <t>scoring</t>
  </si>
  <si>
    <t>weighted score</t>
  </si>
  <si>
    <t>_domain</t>
  </si>
  <si>
    <t>_capability</t>
  </si>
  <si>
    <t>domain</t>
  </si>
  <si>
    <t>capability</t>
  </si>
  <si>
    <t>action</t>
  </si>
  <si>
    <t>Draft Cloud Financial Policies</t>
  </si>
  <si>
    <t>Publish Guidelines &amp; Guardrails</t>
  </si>
  <si>
    <t>Educate Stakeholders on Policy</t>
  </si>
  <si>
    <t>Monitor Compliance &amp; Report Breaches</t>
  </si>
  <si>
    <t>Iterate Policies Based on Feedback</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</si>
  <si>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</si>
  <si>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</si>
  <si>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</si>
  <si>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</si>
  <si>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</si>
  <si>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</si>
  <si>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</si>
  <si>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</si>
  <si>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</si>
  <si>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</si>
  <si>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</si>
  <si>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</si>
  <si>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</si>
  <si>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</si>
  <si>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</si>
  <si>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</si>
  <si>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</si>
  <si>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</si>
  <si>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</si>
  <si>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</si>
  <si>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</si>
  <si>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</si>
  <si>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</si>
  <si>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</si>
  <si>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</si>
  <si>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</si>
  <si>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</si>
  <si>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</si>
  <si>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</si>
  <si>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</si>
  <si>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</si>
  <si>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</si>
  <si>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</si>
  <si>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</si>
  <si>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Define Decision Rights &amp; Guardrails</t>
  </si>
  <si>
    <t>Build Multi-Year Investment Forecast</t>
  </si>
  <si>
    <t>Establish Decision Support Cadence</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</si>
  <si>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</si>
  <si>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</si>
  <si>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</si>
  <si>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</si>
  <si>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</si>
  <si>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</si>
  <si>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Create Workload Selection Criteria</t>
  </si>
  <si>
    <t>Define Success Criteria &amp; Scope</t>
  </si>
  <si>
    <t>Enforce Tagging at Onboarding</t>
  </si>
  <si>
    <t>Align Timelines with Budgets</t>
  </si>
  <si>
    <t>Start with Lower Environments</t>
  </si>
  <si>
    <t>Review Outcomes &amp; Adjust Patterns</t>
  </si>
  <si>
    <t>Aggregate emissions data by region/service/account with lineage.</t>
  </si>
  <si>
    <t>Define sustainability metrics/targets.</t>
  </si>
  <si>
    <t>Include carbon impact in migration/optimization decisions and PRDs.</t>
  </si>
  <si>
    <t>Enable engineering with carbon-aware data and scheduling guidance.</t>
  </si>
  <si>
    <t>Continuously improve data quality and report progress on dashboards.</t>
  </si>
  <si>
    <t>Tie sustainability wins to cost efficiency where possible.</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</si>
  <si>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</si>
  <si>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</si>
  <si>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</si>
  <si>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</si>
  <si>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</si>
  <si>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</si>
  <si>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</si>
  <si>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</si>
  <si>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</si>
  <si>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</si>
  <si>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</si>
  <si>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</si>
  <si>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</si>
  <si>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</si>
  <si>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</si>
  <si>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</si>
  <si>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</si>
  <si>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</si>
  <si>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</si>
  <si>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</si>
  <si>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</si>
  <si>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</si>
  <si>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</si>
  <si>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</si>
  <si>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</si>
  <si>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</si>
  <si>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</si>
  <si>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</si>
  <si>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</si>
  <si>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</si>
  <si>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</si>
  <si>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</si>
  <si>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</si>
  <si>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</si>
  <si>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</si>
  <si>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</si>
  <si>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</si>
  <si>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</si>
  <si>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</si>
  <si>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</si>
  <si>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</si>
  <si>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</si>
  <si>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</si>
  <si>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</si>
  <si>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</si>
  <si>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</si>
  <si>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</si>
  <si>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</si>
  <si>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</si>
  <si>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</si>
  <si>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</si>
  <si>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</si>
  <si>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</si>
  <si>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</si>
  <si>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</si>
  <si>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</si>
  <si>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</si>
  <si>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</si>
  <si>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</si>
  <si>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</si>
  <si>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</si>
  <si>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</si>
  <si>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</si>
  <si>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</si>
  <si>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</si>
  <si>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</si>
  <si>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</si>
  <si>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Document Normalization Rules</t>
  </si>
  <si>
    <t>Implement Data Quality Checks</t>
  </si>
  <si>
    <t>Build Ingestion Anomaly Dashboards</t>
  </si>
  <si>
    <t>Optimize Pipelines for Timeliness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</si>
  <si>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</si>
  <si>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</si>
  <si>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</si>
  <si>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</si>
  <si>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</si>
  <si>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</si>
  <si>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</si>
  <si>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</si>
  <si>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102</t>
  </si>
  <si>
    <t>103</t>
  </si>
  <si>
    <t>104</t>
  </si>
  <si>
    <t>105</t>
  </si>
  <si>
    <t>106</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</si>
  <si>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</si>
  <si>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</si>
  <si>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</si>
  <si>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</si>
  <si>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</si>
  <si>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</si>
  <si>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</si>
  <si>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</si>
  <si>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</si>
  <si>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</si>
  <si>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</si>
  <si>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</si>
  <si>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</si>
  <si>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</si>
  <si>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</si>
  <si>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</si>
  <si>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</si>
  <si>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</si>
  <si>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</si>
  <si>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</si>
  <si>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</si>
  <si>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</si>
  <si>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</si>
  <si>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</si>
  <si>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</si>
  <si>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</si>
  <si>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</si>
  <si>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</si>
  <si>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</si>
  <si>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</si>
  <si>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</si>
  <si>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</si>
  <si>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</si>
  <si>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136</t>
  </si>
  <si>
    <t>137</t>
  </si>
  <si>
    <t>138</t>
  </si>
  <si>
    <t>139</t>
  </si>
  <si>
    <t>061</t>
  </si>
  <si>
    <t>062</t>
  </si>
  <si>
    <t>063</t>
  </si>
  <si>
    <t>064</t>
  </si>
  <si>
    <t>065</t>
  </si>
  <si>
    <t>066</t>
  </si>
  <si>
    <t>118</t>
  </si>
  <si>
    <t>119</t>
  </si>
  <si>
    <t>120</t>
  </si>
  <si>
    <t>121</t>
  </si>
  <si>
    <t>122</t>
  </si>
  <si>
    <t>123</t>
  </si>
  <si>
    <t>085</t>
  </si>
  <si>
    <t>086</t>
  </si>
  <si>
    <t>087</t>
  </si>
  <si>
    <t>088</t>
  </si>
  <si>
    <t>089</t>
  </si>
  <si>
    <t>090</t>
  </si>
  <si>
    <t>073</t>
  </si>
  <si>
    <t>074</t>
  </si>
  <si>
    <t>075</t>
  </si>
  <si>
    <t>076</t>
  </si>
  <si>
    <t>077</t>
  </si>
  <si>
    <t>078</t>
  </si>
  <si>
    <t>079</t>
  </si>
  <si>
    <t>080</t>
  </si>
  <si>
    <t>081</t>
  </si>
  <si>
    <t>082</t>
  </si>
  <si>
    <t>083</t>
  </si>
  <si>
    <t>084</t>
  </si>
  <si>
    <t>067</t>
  </si>
  <si>
    <t>068</t>
  </si>
  <si>
    <t>069</t>
  </si>
  <si>
    <t>070</t>
  </si>
  <si>
    <t>071</t>
  </si>
  <si>
    <t>072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</si>
  <si>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</si>
  <si>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</si>
  <si>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</si>
  <si>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</si>
  <si>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</si>
  <si>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</si>
  <si>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</si>
  <si>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</si>
  <si>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</si>
  <si>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</si>
  <si>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</si>
  <si>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</si>
  <si>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</si>
  <si>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</si>
  <si>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</si>
  <si>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</si>
  <si>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</si>
  <si>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</si>
  <si>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</si>
  <si>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</si>
  <si>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</si>
  <si>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</si>
  <si>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</si>
  <si>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</si>
  <si>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</si>
  <si>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</si>
  <si>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</si>
  <si>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</si>
  <si>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</si>
  <si>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</si>
  <si>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</si>
  <si>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009</t>
  </si>
  <si>
    <t>010</t>
  </si>
  <si>
    <t>011</t>
  </si>
  <si>
    <t>012</t>
  </si>
  <si>
    <t>013</t>
  </si>
  <si>
    <t>014</t>
  </si>
  <si>
    <t>015</t>
  </si>
  <si>
    <t>023</t>
  </si>
  <si>
    <t>024</t>
  </si>
  <si>
    <t>025</t>
  </si>
  <si>
    <t>026</t>
  </si>
  <si>
    <t>027</t>
  </si>
  <si>
    <t>028</t>
  </si>
  <si>
    <t>029</t>
  </si>
  <si>
    <t>001</t>
  </si>
  <si>
    <t>002</t>
  </si>
  <si>
    <t>003</t>
  </si>
  <si>
    <t>004</t>
  </si>
  <si>
    <t>005</t>
  </si>
  <si>
    <t>006</t>
  </si>
  <si>
    <t>007</t>
  </si>
  <si>
    <t>008</t>
  </si>
  <si>
    <t>135</t>
  </si>
  <si>
    <t>016</t>
  </si>
  <si>
    <t>017</t>
  </si>
  <si>
    <t>018</t>
  </si>
  <si>
    <t>019</t>
  </si>
  <si>
    <t>020</t>
  </si>
  <si>
    <t>021</t>
  </si>
  <si>
    <t>022</t>
  </si>
  <si>
    <t>0.7.0</t>
  </si>
  <si>
    <t>1.7.0</t>
  </si>
  <si>
    <t>0.8.0</t>
  </si>
  <si>
    <t>0.7.1</t>
  </si>
  <si>
    <t>0.9.0</t>
  </si>
  <si>
    <t>0.8.1</t>
  </si>
  <si>
    <t>0.0.1</t>
  </si>
  <si>
    <t>0.5.0</t>
  </si>
  <si>
    <t>1.5.0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</si>
  <si>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</si>
  <si>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</si>
  <si>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</si>
  <si>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</si>
  <si>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</si>
  <si>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</si>
  <si>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</si>
  <si>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</si>
  <si>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</si>
  <si>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</si>
  <si>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</si>
  <si>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</si>
  <si>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</si>
  <si>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Document decision rights and approval authority for technology spend
* Define and publish spend guardrails with named owners
* Establish escalation path for spend exceptions
10*Ceil(x/3)</t>
  </si>
  <si>
    <t>* Inventory vendor commitments across technology categories (cloud, SaaS, data center, AI)
* Create a multi-year forecast incorporating renewal timelines and growth projections
* Incorporate transition and modernization costs into the investment plan
10*Ceil(x/3)</t>
  </si>
  <si>
    <t>* Define a regular review cadence for technology investment decisions
* Deliver cost and outcome comparisons for competing initiatives at reviews
* Track and report action follow-through from investment decisions
10*Ceil(x/3)</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</si>
  <si>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</si>
  <si>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</si>
  <si>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</si>
  <si>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</si>
  <si>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</si>
  <si>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</si>
  <si>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</si>
  <si>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</si>
  <si>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</si>
  <si>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</si>
  <si>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</si>
  <si>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</si>
  <si>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</si>
  <si>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</si>
  <si>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</si>
  <si>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</si>
  <si>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</si>
  <si>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</si>
  <si>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</si>
  <si>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</si>
  <si>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</si>
  <si>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</si>
  <si>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</si>
  <si>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</si>
  <si>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</si>
  <si>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</si>
  <si>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</si>
  <si>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</si>
  <si>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</si>
  <si>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</si>
  <si>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[{'Score': 0, 'Condition': None}]</t>
  </si>
  <si>
    <t>[{'Score': 0, 'Condition': 'Not monitored'}, {'Score': 2, 'Condition': 'Reported'}, {'Score': 5, 'Condition': 'Manual remediation'}, {'Score': 10, 'Condition': 'Automated remediation'}]</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</si>
  <si>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</si>
  <si>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</si>
  <si>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</si>
  <si>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</si>
  <si>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 items completed'}, {'Score': 5, 'Condition': '1 item completed'}, {'Score': 10, 'Condition': '2 items completed'}]</t>
  </si>
  <si>
    <t>[{'Score': 0, 'Condition': 'Not done'}, {'Score': 10, 'Condition': 'Defined'}]</t>
  </si>
  <si>
    <t>[{'Score': 0, 'Condition': 'No rules established'}, {'Score': 10, 'Condition': 'Published policy'}]</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</si>
  <si>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</si>
  <si>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</si>
  <si>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</si>
  <si>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</si>
  <si>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</si>
  <si>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</si>
  <si>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</si>
  <si>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</si>
  <si>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</si>
  <si>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</si>
  <si>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</si>
  <si>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</si>
  <si>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</si>
  <si>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</si>
  <si>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'None'}, {'Score': 10, 'Condition': 'communicates wins in KPI thresholds and unit costs'}]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</si>
  <si>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</si>
  <si>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</si>
  <si>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</si>
  <si>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</si>
  <si>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</si>
  <si>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</si>
  <si>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</si>
  <si>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0: None</t>
  </si>
  <si>
    <t>0: Not monitored</t>
  </si>
  <si>
    <t>0: 0 items completed</t>
  </si>
  <si>
    <t>0: No items completed</t>
  </si>
  <si>
    <t>0: Not done</t>
  </si>
  <si>
    <t>0: No rules established</t>
  </si>
  <si>
    <t>0: No executive sponsor identified</t>
  </si>
  <si>
    <t>0: Does not exist</t>
  </si>
  <si>
    <t>0: No documented method</t>
  </si>
  <si>
    <t>0: 0%</t>
  </si>
  <si>
    <t>0: No teardown/shutdown policy</t>
  </si>
  <si>
    <t>0: No review of trends</t>
  </si>
  <si>
    <t>0: No alerting</t>
  </si>
  <si>
    <t>0: No alerting to any owners</t>
  </si>
  <si>
    <t>0: Never</t>
  </si>
  <si>
    <t>0: No alerting in workflow tools</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</si>
</sst>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 Foundation</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Domain</c:v>
          </c:tx>
          <c:cat>
            <c:strRef>
              <c:f>Overview!$A$5:$A$8</c:f>
              <c:strCache>
                <c:ptCount val="4"/>
                <c:pt idx="0">
                  <c:v>Manage the FinOps Practice</c:v>
                </c:pt>
                <c:pt idx="1">
                  <c:v>Optimize Usage &amp; Cost</c:v>
                </c:pt>
                <c:pt idx="2">
                  <c:v>Quantify Business Value</c:v>
                </c:pt>
                <c:pt idx="3">
                  <c:v>Understand 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scaling>
        <c:axPos val="l"/>
        <c:majorGridlines/>
        <c:numFmt formatCode="General" sourceLinked="1"/>
        <c:majorTickMark val="cross"/>
        <c:tickLblPos val="nextTo"/>
        <c:crossAx val="50020001"/>
        <c:crosses val="autoZero"/>
        <c:crossBetween val="between"/>
      </c:valAx>
    </c:plotArea>
    <c:plotVisOnly val="1"/>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Capability</c:v>
          </c:tx>
          <c:cat>
            <c:strRef>
              <c:f>Overview!$A$12:$A$33</c:f>
              <c:strCache>
                <c:ptCount val="22"/>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Governance, Policy &amp; Risk</c:v>
                </c:pt>
                <c:pt idx="12">
                  <c:v>Intersecting Disciplines</c:v>
                </c:pt>
                <c:pt idx="13">
                  <c:v>Invoicing &amp; Chargeback</c:v>
                </c:pt>
                <c:pt idx="14">
                  <c:v>KPIs &amp; Benchmarking</c:v>
                </c:pt>
                <c:pt idx="15">
                  <c:v>Licensing &amp; SaaS</c:v>
                </c:pt>
                <c:pt idx="16">
                  <c:v>Planning &amp; Estimating</c:v>
                </c:pt>
                <c:pt idx="17">
                  <c:v>Rate Optimization</c:v>
                </c:pt>
                <c:pt idx="18">
                  <c:v>Reporting &amp; Analytics</c:v>
                </c:pt>
                <c:pt idx="19">
                  <c:v>Sustainability</c:v>
                </c:pt>
                <c:pt idx="20">
                  <c:v>Unit Economics</c:v>
                </c:pt>
                <c:pt idx="21">
                  <c:v>Usage Optimization</c:v>
                </c:pt>
              </c:strCache>
            </c:strRef>
          </c:cat>
          <c:val>
            <c:numRef>
              <c:f>Overview!$U$12:$U$33</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scaling>
        <c:axPos val="l"/>
        <c:majorGridlines/>
        <c:numFmt formatCode="General" sourceLinked="1"/>
        <c:majorTickMark val="cross"/>
        <c:tickLblPos val="nextTo"/>
        <c:crossAx val="50030001"/>
        <c:crosses val="autoZero"/>
        <c:crossBetween val="between"/>
      </c:valAx>
    </c:plotArea>
    <c:plotVisOnly val="1"/>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3"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02.md" TargetMode="External"/><Relationship Id="rId2" Type="http://schemas.openxmlformats.org/officeDocument/2006/relationships/hyperlink" Target="https://github.com/FinOpsPP/Framework-Assessment/tree/main/components/actions/103.md" TargetMode="External"/><Relationship Id="rId3" Type="http://schemas.openxmlformats.org/officeDocument/2006/relationships/hyperlink" Target="https://github.com/FinOpsPP/Framework-Assessment/tree/main/components/actions/104.md" TargetMode="External"/><Relationship Id="rId4" Type="http://schemas.openxmlformats.org/officeDocument/2006/relationships/hyperlink" Target="https://github.com/FinOpsPP/Framework-Assessment/tree/main/components/actions/105.md" TargetMode="External"/><Relationship Id="rId5" Type="http://schemas.openxmlformats.org/officeDocument/2006/relationships/hyperlink" Target="https://github.com/FinOpsPP/Framework-Assessment/tree/main/components/actions/106.md" TargetMode="External"/><Relationship Id="rId6" Type="http://schemas.openxmlformats.org/officeDocument/2006/relationships/hyperlink" Target="https://github.com/FinOpsPP/Framework-Assessment/tree/main/components/actions/113.md" TargetMode="External"/><Relationship Id="rId7" Type="http://schemas.openxmlformats.org/officeDocument/2006/relationships/hyperlink" Target="https://github.com/FinOpsPP/Framework-Assessment/tree/main/components/actions/114.md" TargetMode="External"/><Relationship Id="rId8" Type="http://schemas.openxmlformats.org/officeDocument/2006/relationships/hyperlink" Target="https://github.com/FinOpsPP/Framework-Assessment/tree/main/components/actions/115.md" TargetMode="External"/><Relationship Id="rId9" Type="http://schemas.openxmlformats.org/officeDocument/2006/relationships/hyperlink" Target="https://github.com/FinOpsPP/Framework-Assessment/tree/main/components/actions/116.md" TargetMode="External"/><Relationship Id="rId10" Type="http://schemas.openxmlformats.org/officeDocument/2006/relationships/hyperlink" Target="https://github.com/FinOpsPP/Framework-Assessment/tree/main/components/actions/117.md" TargetMode="External"/><Relationship Id="rId11" Type="http://schemas.openxmlformats.org/officeDocument/2006/relationships/hyperlink" Target="https://github.com/FinOpsPP/Framework-Assessment/tree/main/components/actions/097.md" TargetMode="External"/><Relationship Id="rId12" Type="http://schemas.openxmlformats.org/officeDocument/2006/relationships/hyperlink" Target="https://github.com/FinOpsPP/Framework-Assessment/tree/main/components/actions/098.md" TargetMode="External"/><Relationship Id="rId13" Type="http://schemas.openxmlformats.org/officeDocument/2006/relationships/hyperlink" Target="https://github.com/FinOpsPP/Framework-Assessment/tree/main/components/actions/099.md" TargetMode="External"/><Relationship Id="rId14" Type="http://schemas.openxmlformats.org/officeDocument/2006/relationships/hyperlink" Target="https://github.com/FinOpsPP/Framework-Assessment/tree/main/components/actions/100.md" TargetMode="External"/><Relationship Id="rId15" Type="http://schemas.openxmlformats.org/officeDocument/2006/relationships/hyperlink" Target="https://github.com/FinOpsPP/Framework-Assessment/tree/main/components/actions/101.md" TargetMode="External"/><Relationship Id="rId16" Type="http://schemas.openxmlformats.org/officeDocument/2006/relationships/hyperlink" Target="https://github.com/FinOpsPP/Framework-Assessment/tree/main/components/actions/091.md" TargetMode="External"/><Relationship Id="rId17" Type="http://schemas.openxmlformats.org/officeDocument/2006/relationships/hyperlink" Target="https://github.com/FinOpsPP/Framework-Assessment/tree/main/components/actions/092.md" TargetMode="External"/><Relationship Id="rId18" Type="http://schemas.openxmlformats.org/officeDocument/2006/relationships/hyperlink" Target="https://github.com/FinOpsPP/Framework-Assessment/tree/main/components/actions/093.md" TargetMode="External"/><Relationship Id="rId19" Type="http://schemas.openxmlformats.org/officeDocument/2006/relationships/hyperlink" Target="https://github.com/FinOpsPP/Framework-Assessment/tree/main/components/actions/094.md" TargetMode="External"/><Relationship Id="rId20" Type="http://schemas.openxmlformats.org/officeDocument/2006/relationships/hyperlink" Target="https://github.com/FinOpsPP/Framework-Assessment/tree/main/components/actions/095.md" TargetMode="External"/><Relationship Id="rId21" Type="http://schemas.openxmlformats.org/officeDocument/2006/relationships/hyperlink" Target="https://github.com/FinOpsPP/Framework-Assessment/tree/main/components/actions/096.md" TargetMode="External"/><Relationship Id="rId22" Type="http://schemas.openxmlformats.org/officeDocument/2006/relationships/hyperlink" Target="https://github.com/FinOpsPP/Framework-Assessment/tree/main/components/actions/124.md" TargetMode="External"/><Relationship Id="rId23" Type="http://schemas.openxmlformats.org/officeDocument/2006/relationships/hyperlink" Target="https://github.com/FinOpsPP/Framework-Assessment/tree/main/components/actions/125.md" TargetMode="External"/><Relationship Id="rId24" Type="http://schemas.openxmlformats.org/officeDocument/2006/relationships/hyperlink" Target="https://github.com/FinOpsPP/Framework-Assessment/tree/main/components/actions/126.md" TargetMode="External"/><Relationship Id="rId25" Type="http://schemas.openxmlformats.org/officeDocument/2006/relationships/hyperlink" Target="https://github.com/FinOpsPP/Framework-Assessment/tree/main/components/actions/127.md" TargetMode="External"/><Relationship Id="rId26" Type="http://schemas.openxmlformats.org/officeDocument/2006/relationships/hyperlink" Target="https://github.com/FinOpsPP/Framework-Assessment/tree/main/components/actions/128.md" TargetMode="External"/><Relationship Id="rId27" Type="http://schemas.openxmlformats.org/officeDocument/2006/relationships/hyperlink" Target="https://github.com/FinOpsPP/Framework-Assessment/tree/main/components/actions/129.md" TargetMode="External"/><Relationship Id="rId28" Type="http://schemas.openxmlformats.org/officeDocument/2006/relationships/hyperlink" Target="https://github.com/FinOpsPP/Framework-Assessment/tree/main/components/actions/130.md" TargetMode="External"/><Relationship Id="rId29" Type="http://schemas.openxmlformats.org/officeDocument/2006/relationships/hyperlink" Target="https://github.com/FinOpsPP/Framework-Assessment/tree/main/components/actions/131.md" TargetMode="External"/><Relationship Id="rId30" Type="http://schemas.openxmlformats.org/officeDocument/2006/relationships/hyperlink" Target="https://github.com/FinOpsPP/Framework-Assessment/tree/main/components/actions/132.md" TargetMode="External"/><Relationship Id="rId31" Type="http://schemas.openxmlformats.org/officeDocument/2006/relationships/hyperlink" Target="https://github.com/FinOpsPP/Framework-Assessment/tree/main/components/actions/133.md" TargetMode="External"/><Relationship Id="rId32" Type="http://schemas.openxmlformats.org/officeDocument/2006/relationships/hyperlink" Target="https://github.com/FinOpsPP/Framework-Assessment/tree/main/components/actions/134.md" TargetMode="External"/><Relationship Id="rId33" Type="http://schemas.openxmlformats.org/officeDocument/2006/relationships/hyperlink" Target="https://github.com/FinOpsPP/Framework-Assessment/tree/main/components/actions/107.md" TargetMode="External"/><Relationship Id="rId34" Type="http://schemas.openxmlformats.org/officeDocument/2006/relationships/hyperlink" Target="https://github.com/FinOpsPP/Framework-Assessment/tree/main/components/actions/108.md" TargetMode="External"/><Relationship Id="rId35" Type="http://schemas.openxmlformats.org/officeDocument/2006/relationships/hyperlink" Target="https://github.com/FinOpsPP/Framework-Assessment/tree/main/components/actions/109.md" TargetMode="External"/><Relationship Id="rId36" Type="http://schemas.openxmlformats.org/officeDocument/2006/relationships/hyperlink" Target="https://github.com/FinOpsPP/Framework-Assessment/tree/main/components/actions/110.md" TargetMode="External"/><Relationship Id="rId37" Type="http://schemas.openxmlformats.org/officeDocument/2006/relationships/hyperlink" Target="https://github.com/FinOpsPP/Framework-Assessment/tree/main/components/actions/111.md" TargetMode="External"/><Relationship Id="rId38" Type="http://schemas.openxmlformats.org/officeDocument/2006/relationships/hyperlink" Target="https://github.com/FinOpsPP/Framework-Assessment/tree/main/components/actions/112.md" TargetMode="External"/><Relationship Id="rId39" Type="http://schemas.openxmlformats.org/officeDocument/2006/relationships/hyperlink" Target="https://github.com/FinOpsPP/Framework-Assessment/tree/main/components/actions/136.md" TargetMode="External"/><Relationship Id="rId40" Type="http://schemas.openxmlformats.org/officeDocument/2006/relationships/hyperlink" Target="https://github.com/FinOpsPP/Framework-Assessment/tree/main/components/actions/137.md" TargetMode="External"/><Relationship Id="rId41" Type="http://schemas.openxmlformats.org/officeDocument/2006/relationships/hyperlink" Target="https://github.com/FinOpsPP/Framework-Assessment/tree/main/components/actions/138.md" TargetMode="External"/><Relationship Id="rId42" Type="http://schemas.openxmlformats.org/officeDocument/2006/relationships/hyperlink" Target="https://github.com/FinOpsPP/Framework-Assessment/tree/main/components/actions/139.md" TargetMode="External"/><Relationship Id="rId43" Type="http://schemas.openxmlformats.org/officeDocument/2006/relationships/hyperlink" Target="https://github.com/FinOpsPP/Framework-Assessment/tree/main/components/actions/061.md" TargetMode="External"/><Relationship Id="rId44" Type="http://schemas.openxmlformats.org/officeDocument/2006/relationships/hyperlink" Target="https://github.com/FinOpsPP/Framework-Assessment/tree/main/components/actions/062.md" TargetMode="External"/><Relationship Id="rId45" Type="http://schemas.openxmlformats.org/officeDocument/2006/relationships/hyperlink" Target="https://github.com/FinOpsPP/Framework-Assessment/tree/main/components/actions/063.md" TargetMode="External"/><Relationship Id="rId46" Type="http://schemas.openxmlformats.org/officeDocument/2006/relationships/hyperlink" Target="https://github.com/FinOpsPP/Framework-Assessment/tree/main/components/actions/064.md" TargetMode="External"/><Relationship Id="rId47" Type="http://schemas.openxmlformats.org/officeDocument/2006/relationships/hyperlink" Target="https://github.com/FinOpsPP/Framework-Assessment/tree/main/components/actions/065.md" TargetMode="External"/><Relationship Id="rId48" Type="http://schemas.openxmlformats.org/officeDocument/2006/relationships/hyperlink" Target="https://github.com/FinOpsPP/Framework-Assessment/tree/main/components/actions/066.md" TargetMode="External"/><Relationship Id="rId49" Type="http://schemas.openxmlformats.org/officeDocument/2006/relationships/hyperlink" Target="https://github.com/FinOpsPP/Framework-Assessment/tree/main/components/actions/118.md" TargetMode="External"/><Relationship Id="rId50" Type="http://schemas.openxmlformats.org/officeDocument/2006/relationships/hyperlink" Target="https://github.com/FinOpsPP/Framework-Assessment/tree/main/components/actions/119.md" TargetMode="External"/><Relationship Id="rId51" Type="http://schemas.openxmlformats.org/officeDocument/2006/relationships/hyperlink" Target="https://github.com/FinOpsPP/Framework-Assessment/tree/main/components/actions/120.md" TargetMode="External"/><Relationship Id="rId52" Type="http://schemas.openxmlformats.org/officeDocument/2006/relationships/hyperlink" Target="https://github.com/FinOpsPP/Framework-Assessment/tree/main/components/actions/121.md" TargetMode="External"/><Relationship Id="rId53" Type="http://schemas.openxmlformats.org/officeDocument/2006/relationships/hyperlink" Target="https://github.com/FinOpsPP/Framework-Assessment/tree/main/components/actions/122.md" TargetMode="External"/><Relationship Id="rId54" Type="http://schemas.openxmlformats.org/officeDocument/2006/relationships/hyperlink" Target="https://github.com/FinOpsPP/Framework-Assessment/tree/main/components/actions/123.md" TargetMode="External"/><Relationship Id="rId55" Type="http://schemas.openxmlformats.org/officeDocument/2006/relationships/hyperlink" Target="https://github.com/FinOpsPP/Framework-Assessment/tree/main/components/actions/085.md" TargetMode="External"/><Relationship Id="rId56" Type="http://schemas.openxmlformats.org/officeDocument/2006/relationships/hyperlink" Target="https://github.com/FinOpsPP/Framework-Assessment/tree/main/components/actions/086.md" TargetMode="External"/><Relationship Id="rId57" Type="http://schemas.openxmlformats.org/officeDocument/2006/relationships/hyperlink" Target="https://github.com/FinOpsPP/Framework-Assessment/tree/main/components/actions/087.md" TargetMode="External"/><Relationship Id="rId58" Type="http://schemas.openxmlformats.org/officeDocument/2006/relationships/hyperlink" Target="https://github.com/FinOpsPP/Framework-Assessment/tree/main/components/actions/088.md" TargetMode="External"/><Relationship Id="rId59" Type="http://schemas.openxmlformats.org/officeDocument/2006/relationships/hyperlink" Target="https://github.com/FinOpsPP/Framework-Assessment/tree/main/components/actions/089.md" TargetMode="External"/><Relationship Id="rId60" Type="http://schemas.openxmlformats.org/officeDocument/2006/relationships/hyperlink" Target="https://github.com/FinOpsPP/Framework-Assessment/tree/main/components/actions/090.md" TargetMode="External"/><Relationship Id="rId61" Type="http://schemas.openxmlformats.org/officeDocument/2006/relationships/hyperlink" Target="https://github.com/FinOpsPP/Framework-Assessment/tree/main/components/actions/073.md" TargetMode="External"/><Relationship Id="rId62" Type="http://schemas.openxmlformats.org/officeDocument/2006/relationships/hyperlink" Target="https://github.com/FinOpsPP/Framework-Assessment/tree/main/components/actions/074.md" TargetMode="External"/><Relationship Id="rId63" Type="http://schemas.openxmlformats.org/officeDocument/2006/relationships/hyperlink" Target="https://github.com/FinOpsPP/Framework-Assessment/tree/main/components/actions/075.md" TargetMode="External"/><Relationship Id="rId64" Type="http://schemas.openxmlformats.org/officeDocument/2006/relationships/hyperlink" Target="https://github.com/FinOpsPP/Framework-Assessment/tree/main/components/actions/076.md" TargetMode="External"/><Relationship Id="rId65" Type="http://schemas.openxmlformats.org/officeDocument/2006/relationships/hyperlink" Target="https://github.com/FinOpsPP/Framework-Assessment/tree/main/components/actions/077.md" TargetMode="External"/><Relationship Id="rId66" Type="http://schemas.openxmlformats.org/officeDocument/2006/relationships/hyperlink" Target="https://github.com/FinOpsPP/Framework-Assessment/tree/main/components/actions/078.md" TargetMode="External"/><Relationship Id="rId67" Type="http://schemas.openxmlformats.org/officeDocument/2006/relationships/hyperlink" Target="https://github.com/FinOpsPP/Framework-Assessment/tree/main/components/actions/079.md" TargetMode="External"/><Relationship Id="rId68" Type="http://schemas.openxmlformats.org/officeDocument/2006/relationships/hyperlink" Target="https://github.com/FinOpsPP/Framework-Assessment/tree/main/components/actions/080.md" TargetMode="External"/><Relationship Id="rId69" Type="http://schemas.openxmlformats.org/officeDocument/2006/relationships/hyperlink" Target="https://github.com/FinOpsPP/Framework-Assessment/tree/main/components/actions/081.md" TargetMode="External"/><Relationship Id="rId70" Type="http://schemas.openxmlformats.org/officeDocument/2006/relationships/hyperlink" Target="https://github.com/FinOpsPP/Framework-Assessment/tree/main/components/actions/082.md" TargetMode="External"/><Relationship Id="rId71" Type="http://schemas.openxmlformats.org/officeDocument/2006/relationships/hyperlink" Target="https://github.com/FinOpsPP/Framework-Assessment/tree/main/components/actions/083.md" TargetMode="External"/><Relationship Id="rId72" Type="http://schemas.openxmlformats.org/officeDocument/2006/relationships/hyperlink" Target="https://github.com/FinOpsPP/Framework-Assessment/tree/main/components/actions/084.md" TargetMode="External"/><Relationship Id="rId73" Type="http://schemas.openxmlformats.org/officeDocument/2006/relationships/hyperlink" Target="https://github.com/FinOpsPP/Framework-Assessment/tree/main/components/actions/067.md" TargetMode="External"/><Relationship Id="rId74" Type="http://schemas.openxmlformats.org/officeDocument/2006/relationships/hyperlink" Target="https://github.com/FinOpsPP/Framework-Assessment/tree/main/components/actions/068.md" TargetMode="External"/><Relationship Id="rId75" Type="http://schemas.openxmlformats.org/officeDocument/2006/relationships/hyperlink" Target="https://github.com/FinOpsPP/Framework-Assessment/tree/main/components/actions/069.md" TargetMode="External"/><Relationship Id="rId76" Type="http://schemas.openxmlformats.org/officeDocument/2006/relationships/hyperlink" Target="https://github.com/FinOpsPP/Framework-Assessment/tree/main/components/actions/070.md" TargetMode="External"/><Relationship Id="rId77" Type="http://schemas.openxmlformats.org/officeDocument/2006/relationships/hyperlink" Target="https://github.com/FinOpsPP/Framework-Assessment/tree/main/components/actions/071.md" TargetMode="External"/><Relationship Id="rId78" Type="http://schemas.openxmlformats.org/officeDocument/2006/relationships/hyperlink" Target="https://github.com/FinOpsPP/Framework-Assessment/tree/main/components/actions/072.md" TargetMode="External"/><Relationship Id="rId79" Type="http://schemas.openxmlformats.org/officeDocument/2006/relationships/hyperlink" Target="https://github.com/FinOpsPP/Framework-Assessment/tree/main/components/actions/049.md" TargetMode="External"/><Relationship Id="rId80" Type="http://schemas.openxmlformats.org/officeDocument/2006/relationships/hyperlink" Target="https://github.com/FinOpsPP/Framework-Assessment/tree/main/components/actions/050.md" TargetMode="External"/><Relationship Id="rId81" Type="http://schemas.openxmlformats.org/officeDocument/2006/relationships/hyperlink" Target="https://github.com/FinOpsPP/Framework-Assessment/tree/main/components/actions/051.md" TargetMode="External"/><Relationship Id="rId82" Type="http://schemas.openxmlformats.org/officeDocument/2006/relationships/hyperlink" Target="https://github.com/FinOpsPP/Framework-Assessment/tree/main/components/actions/052.md" TargetMode="External"/><Relationship Id="rId83" Type="http://schemas.openxmlformats.org/officeDocument/2006/relationships/hyperlink" Target="https://github.com/FinOpsPP/Framework-Assessment/tree/main/components/actions/053.md" TargetMode="External"/><Relationship Id="rId84" Type="http://schemas.openxmlformats.org/officeDocument/2006/relationships/hyperlink" Target="https://github.com/FinOpsPP/Framework-Assessment/tree/main/components/actions/054.md" TargetMode="External"/><Relationship Id="rId85" Type="http://schemas.openxmlformats.org/officeDocument/2006/relationships/hyperlink" Target="https://github.com/FinOpsPP/Framework-Assessment/tree/main/components/actions/043.md" TargetMode="External"/><Relationship Id="rId86" Type="http://schemas.openxmlformats.org/officeDocument/2006/relationships/hyperlink" Target="https://github.com/FinOpsPP/Framework-Assessment/tree/main/components/actions/044.md" TargetMode="External"/><Relationship Id="rId87" Type="http://schemas.openxmlformats.org/officeDocument/2006/relationships/hyperlink" Target="https://github.com/FinOpsPP/Framework-Assessment/tree/main/components/actions/045.md" TargetMode="External"/><Relationship Id="rId88" Type="http://schemas.openxmlformats.org/officeDocument/2006/relationships/hyperlink" Target="https://github.com/FinOpsPP/Framework-Assessment/tree/main/components/actions/046.md" TargetMode="External"/><Relationship Id="rId89" Type="http://schemas.openxmlformats.org/officeDocument/2006/relationships/hyperlink" Target="https://github.com/FinOpsPP/Framework-Assessment/tree/main/components/actions/047.md" TargetMode="External"/><Relationship Id="rId90" Type="http://schemas.openxmlformats.org/officeDocument/2006/relationships/hyperlink" Target="https://github.com/FinOpsPP/Framework-Assessment/tree/main/components/actions/048.md" TargetMode="External"/><Relationship Id="rId91" Type="http://schemas.openxmlformats.org/officeDocument/2006/relationships/hyperlink" Target="https://github.com/FinOpsPP/Framework-Assessment/tree/main/components/actions/037.md" TargetMode="External"/><Relationship Id="rId92" Type="http://schemas.openxmlformats.org/officeDocument/2006/relationships/hyperlink" Target="https://github.com/FinOpsPP/Framework-Assessment/tree/main/components/actions/038.md" TargetMode="External"/><Relationship Id="rId93" Type="http://schemas.openxmlformats.org/officeDocument/2006/relationships/hyperlink" Target="https://github.com/FinOpsPP/Framework-Assessment/tree/main/components/actions/039.md" TargetMode="External"/><Relationship Id="rId94" Type="http://schemas.openxmlformats.org/officeDocument/2006/relationships/hyperlink" Target="https://github.com/FinOpsPP/Framework-Assessment/tree/main/components/actions/040.md" TargetMode="External"/><Relationship Id="rId95" Type="http://schemas.openxmlformats.org/officeDocument/2006/relationships/hyperlink" Target="https://github.com/FinOpsPP/Framework-Assessment/tree/main/components/actions/041.md" TargetMode="External"/><Relationship Id="rId96" Type="http://schemas.openxmlformats.org/officeDocument/2006/relationships/hyperlink" Target="https://github.com/FinOpsPP/Framework-Assessment/tree/main/components/actions/042.md" TargetMode="External"/><Relationship Id="rId97" Type="http://schemas.openxmlformats.org/officeDocument/2006/relationships/hyperlink" Target="https://github.com/FinOpsPP/Framework-Assessment/tree/main/components/actions/030.md" TargetMode="External"/><Relationship Id="rId98" Type="http://schemas.openxmlformats.org/officeDocument/2006/relationships/hyperlink" Target="https://github.com/FinOpsPP/Framework-Assessment/tree/main/components/actions/031.md" TargetMode="External"/><Relationship Id="rId99" Type="http://schemas.openxmlformats.org/officeDocument/2006/relationships/hyperlink" Target="https://github.com/FinOpsPP/Framework-Assessment/tree/main/components/actions/032.md" TargetMode="External"/><Relationship Id="rId100" Type="http://schemas.openxmlformats.org/officeDocument/2006/relationships/hyperlink" Target="https://github.com/FinOpsPP/Framework-Assessment/tree/main/components/actions/033.md" TargetMode="External"/><Relationship Id="rId101" Type="http://schemas.openxmlformats.org/officeDocument/2006/relationships/hyperlink" Target="https://github.com/FinOpsPP/Framework-Assessment/tree/main/components/actions/034.md" TargetMode="External"/><Relationship Id="rId102" Type="http://schemas.openxmlformats.org/officeDocument/2006/relationships/hyperlink" Target="https://github.com/FinOpsPP/Framework-Assessment/tree/main/components/actions/035.md" TargetMode="External"/><Relationship Id="rId103" Type="http://schemas.openxmlformats.org/officeDocument/2006/relationships/hyperlink" Target="https://github.com/FinOpsPP/Framework-Assessment/tree/main/components/actions/036.md" TargetMode="External"/><Relationship Id="rId104" Type="http://schemas.openxmlformats.org/officeDocument/2006/relationships/hyperlink" Target="https://github.com/FinOpsPP/Framework-Assessment/tree/main/components/actions/055.md" TargetMode="External"/><Relationship Id="rId105" Type="http://schemas.openxmlformats.org/officeDocument/2006/relationships/hyperlink" Target="https://github.com/FinOpsPP/Framework-Assessment/tree/main/components/actions/056.md" TargetMode="External"/><Relationship Id="rId106" Type="http://schemas.openxmlformats.org/officeDocument/2006/relationships/hyperlink" Target="https://github.com/FinOpsPP/Framework-Assessment/tree/main/components/actions/057.md" TargetMode="External"/><Relationship Id="rId107" Type="http://schemas.openxmlformats.org/officeDocument/2006/relationships/hyperlink" Target="https://github.com/FinOpsPP/Framework-Assessment/tree/main/components/actions/058.md" TargetMode="External"/><Relationship Id="rId108" Type="http://schemas.openxmlformats.org/officeDocument/2006/relationships/hyperlink" Target="https://github.com/FinOpsPP/Framework-Assessment/tree/main/components/actions/059.md" TargetMode="External"/><Relationship Id="rId109" Type="http://schemas.openxmlformats.org/officeDocument/2006/relationships/hyperlink" Target="https://github.com/FinOpsPP/Framework-Assessment/tree/main/components/actions/060.md" TargetMode="External"/><Relationship Id="rId110" Type="http://schemas.openxmlformats.org/officeDocument/2006/relationships/hyperlink" Target="https://github.com/FinOpsPP/Framework-Assessment/tree/main/components/actions/009.md" TargetMode="External"/><Relationship Id="rId111" Type="http://schemas.openxmlformats.org/officeDocument/2006/relationships/hyperlink" Target="https://github.com/FinOpsPP/Framework-Assessment/tree/main/components/actions/010.md" TargetMode="External"/><Relationship Id="rId112" Type="http://schemas.openxmlformats.org/officeDocument/2006/relationships/hyperlink" Target="https://github.com/FinOpsPP/Framework-Assessment/tree/main/components/actions/011.md" TargetMode="External"/><Relationship Id="rId113" Type="http://schemas.openxmlformats.org/officeDocument/2006/relationships/hyperlink" Target="https://github.com/FinOpsPP/Framework-Assessment/tree/main/components/actions/012.md" TargetMode="External"/><Relationship Id="rId114" Type="http://schemas.openxmlformats.org/officeDocument/2006/relationships/hyperlink" Target="https://github.com/FinOpsPP/Framework-Assessment/tree/main/components/actions/013.md" TargetMode="External"/><Relationship Id="rId115" Type="http://schemas.openxmlformats.org/officeDocument/2006/relationships/hyperlink" Target="https://github.com/FinOpsPP/Framework-Assessment/tree/main/components/actions/014.md" TargetMode="External"/><Relationship Id="rId116" Type="http://schemas.openxmlformats.org/officeDocument/2006/relationships/hyperlink" Target="https://github.com/FinOpsPP/Framework-Assessment/tree/main/components/actions/015.md" TargetMode="External"/><Relationship Id="rId117" Type="http://schemas.openxmlformats.org/officeDocument/2006/relationships/hyperlink" Target="https://github.com/FinOpsPP/Framework-Assessment/tree/main/components/actions/023.md" TargetMode="External"/><Relationship Id="rId118" Type="http://schemas.openxmlformats.org/officeDocument/2006/relationships/hyperlink" Target="https://github.com/FinOpsPP/Framework-Assessment/tree/main/components/actions/024.md" TargetMode="External"/><Relationship Id="rId119" Type="http://schemas.openxmlformats.org/officeDocument/2006/relationships/hyperlink" Target="https://github.com/FinOpsPP/Framework-Assessment/tree/main/components/actions/025.md" TargetMode="External"/><Relationship Id="rId120" Type="http://schemas.openxmlformats.org/officeDocument/2006/relationships/hyperlink" Target="https://github.com/FinOpsPP/Framework-Assessment/tree/main/components/actions/026.md" TargetMode="External"/><Relationship Id="rId121" Type="http://schemas.openxmlformats.org/officeDocument/2006/relationships/hyperlink" Target="https://github.com/FinOpsPP/Framework-Assessment/tree/main/components/actions/027.md" TargetMode="External"/><Relationship Id="rId122" Type="http://schemas.openxmlformats.org/officeDocument/2006/relationships/hyperlink" Target="https://github.com/FinOpsPP/Framework-Assessment/tree/main/components/actions/028.md" TargetMode="External"/><Relationship Id="rId123" Type="http://schemas.openxmlformats.org/officeDocument/2006/relationships/hyperlink" Target="https://github.com/FinOpsPP/Framework-Assessment/tree/main/components/actions/029.md" TargetMode="External"/><Relationship Id="rId124" Type="http://schemas.openxmlformats.org/officeDocument/2006/relationships/hyperlink" Target="https://github.com/FinOpsPP/Framework-Assessment/tree/main/components/actions/001.md" TargetMode="External"/><Relationship Id="rId125" Type="http://schemas.openxmlformats.org/officeDocument/2006/relationships/hyperlink" Target="https://github.com/FinOpsPP/Framework-Assessment/tree/main/components/actions/002.md" TargetMode="External"/><Relationship Id="rId126" Type="http://schemas.openxmlformats.org/officeDocument/2006/relationships/hyperlink" Target="https://github.com/FinOpsPP/Framework-Assessment/tree/main/components/actions/003.md" TargetMode="External"/><Relationship Id="rId127" Type="http://schemas.openxmlformats.org/officeDocument/2006/relationships/hyperlink" Target="https://github.com/FinOpsPP/Framework-Assessment/tree/main/components/actions/004.md" TargetMode="External"/><Relationship Id="rId128" Type="http://schemas.openxmlformats.org/officeDocument/2006/relationships/hyperlink" Target="https://github.com/FinOpsPP/Framework-Assessment/tree/main/components/actions/005.md" TargetMode="External"/><Relationship Id="rId129" Type="http://schemas.openxmlformats.org/officeDocument/2006/relationships/hyperlink" Target="https://github.com/FinOpsPP/Framework-Assessment/tree/main/components/actions/006.md" TargetMode="External"/><Relationship Id="rId130" Type="http://schemas.openxmlformats.org/officeDocument/2006/relationships/hyperlink" Target="https://github.com/FinOpsPP/Framework-Assessment/tree/main/components/actions/007.md" TargetMode="External"/><Relationship Id="rId131" Type="http://schemas.openxmlformats.org/officeDocument/2006/relationships/hyperlink" Target="https://github.com/FinOpsPP/Framework-Assessment/tree/main/components/actions/008.md" TargetMode="External"/><Relationship Id="rId132" Type="http://schemas.openxmlformats.org/officeDocument/2006/relationships/hyperlink" Target="https://github.com/FinOpsPP/Framework-Assessment/tree/main/components/actions/135.md" TargetMode="External"/><Relationship Id="rId133" Type="http://schemas.openxmlformats.org/officeDocument/2006/relationships/hyperlink" Target="https://github.com/FinOpsPP/Framework-Assessment/tree/main/components/actions/016.md" TargetMode="External"/><Relationship Id="rId134" Type="http://schemas.openxmlformats.org/officeDocument/2006/relationships/hyperlink" Target="https://github.com/FinOpsPP/Framework-Assessment/tree/main/components/actions/017.md" TargetMode="External"/><Relationship Id="rId135" Type="http://schemas.openxmlformats.org/officeDocument/2006/relationships/hyperlink" Target="https://github.com/FinOpsPP/Framework-Assessment/tree/main/components/actions/018.md" TargetMode="External"/><Relationship Id="rId136" Type="http://schemas.openxmlformats.org/officeDocument/2006/relationships/hyperlink" Target="https://github.com/FinOpsPP/Framework-Assessment/tree/main/components/actions/019.md" TargetMode="External"/><Relationship Id="rId137" Type="http://schemas.openxmlformats.org/officeDocument/2006/relationships/hyperlink" Target="https://github.com/FinOpsPP/Framework-Assessment/tree/main/components/actions/020.md" TargetMode="External"/><Relationship Id="rId138" Type="http://schemas.openxmlformats.org/officeDocument/2006/relationships/hyperlink" Target="https://github.com/FinOpsPP/Framework-Assessment/tree/main/components/actions/021.md" TargetMode="External"/><Relationship Id="rId139" Type="http://schemas.openxmlformats.org/officeDocument/2006/relationships/hyperlink" Target="https://github.com/FinOpsPP/Framework-Assessment/tree/main/components/actions/022.md" TargetMode="External"/></Relationships>
</file>

<file path=xl/worksheets/sheet1.xml><?xml version="1.0" encoding="utf-8"?>
<worksheet xmlns="http://schemas.openxmlformats.org/spreadsheetml/2006/main" xmlns:r="http://schemas.openxmlformats.org/officeDocument/2006/relationships">
  <dimension ref="A1:U34"/>
  <sheetViews>
    <sheetView tabSelected="1" workbookViewId="0"/>
  </sheetViews>
  <sheetFormatPr defaultRowHeight="15"/>
  <cols>
    <col min="1" max="1" width="32.42578125" bestFit="1" customWidth="1"/>
    <col min="2" max="2" width="23" bestFit="1" customWidth="1"/>
    <col min="3" max="3" width="32.42578125" bestFit="1" customWidth="1"/>
    <col min="4" max="4" width="29.7109375" bestFit="1" customWidth="1"/>
  </cols>
  <sheetData>
    <row r="1" spans="1:21">
      <c r="A1" t="s">
        <v>0</v>
      </c>
      <c r="B1" t="s">
        <v>1</v>
      </c>
      <c r="C1" t="s">
        <v>2</v>
      </c>
      <c r="D1" t="s">
        <v>3</v>
      </c>
    </row>
    <row r="2" spans="1:21">
      <c r="A2">
        <f>SUM(Scoring!F2:F140)</f>
        <v>0</v>
      </c>
      <c r="B2">
        <v>10</v>
      </c>
      <c r="C2">
        <f>SUM(Scoring!I2:I140)/A2</f>
        <v>0</v>
      </c>
      <c r="D2">
        <f>B2-C2</f>
        <v>0</v>
      </c>
    </row>
    <row r="4" spans="1:21">
      <c r="A4" t="s">
        <v>4</v>
      </c>
      <c r="B4" t="s">
        <v>5</v>
      </c>
    </row>
    <row r="5" spans="1:21">
      <c r="A5" t="s">
        <v>6</v>
      </c>
      <c r="B5">
        <v>42</v>
      </c>
      <c r="U5">
        <f>SUMIF(Scoring!J2:J140,A5,Scoring!I2:I140)/SUMIF(Scoring!J2:J140,A5,Scoring!F2:F140)</f>
        <v>0</v>
      </c>
    </row>
    <row r="6" spans="1:21">
      <c r="A6" t="s">
        <v>7</v>
      </c>
      <c r="B6">
        <v>36</v>
      </c>
      <c r="U6">
        <f>SUMIF(Scoring!J2:J140,A6,Scoring!I2:I140)/SUMIF(Scoring!J2:J140,A6,Scoring!F2:F140)</f>
        <v>0</v>
      </c>
    </row>
    <row r="7" spans="1:21">
      <c r="A7" t="s">
        <v>8</v>
      </c>
      <c r="B7">
        <v>31</v>
      </c>
      <c r="U7">
        <f>SUMIF(Scoring!J2:J140,A7,Scoring!I2:I140)/SUMIF(Scoring!J2:J140,A7,Scoring!F2:F140)</f>
        <v>0</v>
      </c>
    </row>
    <row r="8" spans="1:21">
      <c r="A8" t="s">
        <v>9</v>
      </c>
      <c r="B8">
        <v>30</v>
      </c>
      <c r="U8">
        <f>SUMIF(Scoring!J2:J140,A8,Scoring!I2:I140)/SUMIF(Scoring!J2:J140,A8,Scoring!F2:F140)</f>
        <v>0</v>
      </c>
    </row>
    <row r="9" spans="1:21">
      <c r="B9">
        <f>SUM(Overview!$B$5:$B$8)</f>
        <v>0</v>
      </c>
    </row>
    <row r="11" spans="1:21">
      <c r="A11" t="s">
        <v>10</v>
      </c>
      <c r="B11" t="s">
        <v>5</v>
      </c>
    </row>
    <row r="12" spans="1:21">
      <c r="A12" t="s">
        <v>11</v>
      </c>
      <c r="B12">
        <v>7</v>
      </c>
      <c r="U12">
        <f>SUMIF(Scoring!K2:K140,A12,Scoring!I2:I140)/SUMIF(Scoring!K2:K140,A12,Scoring!F2:F140)</f>
        <v>0</v>
      </c>
    </row>
    <row r="13" spans="1:21">
      <c r="A13" t="s">
        <v>12</v>
      </c>
      <c r="B13">
        <v>7</v>
      </c>
      <c r="U13">
        <f>SUMIF(Scoring!K2:K140,A13,Scoring!I2:I140)/SUMIF(Scoring!K2:K140,A13,Scoring!F2:F140)</f>
        <v>0</v>
      </c>
    </row>
    <row r="14" spans="1:21">
      <c r="A14" t="s">
        <v>13</v>
      </c>
      <c r="B14">
        <v>12</v>
      </c>
      <c r="U14">
        <f>SUMIF(Scoring!K2:K140,A14,Scoring!I2:I140)/SUMIF(Scoring!K2:K140,A14,Scoring!F2:F140)</f>
        <v>0</v>
      </c>
    </row>
    <row r="15" spans="1:21">
      <c r="A15" t="s">
        <v>14</v>
      </c>
      <c r="B15">
        <v>5</v>
      </c>
      <c r="U15">
        <f>SUMIF(Scoring!K2:K140,A15,Scoring!I2:I140)/SUMIF(Scoring!K2:K140,A15,Scoring!F2:F140)</f>
        <v>0</v>
      </c>
    </row>
    <row r="16" spans="1:21">
      <c r="A16" t="s">
        <v>15</v>
      </c>
      <c r="B16">
        <v>6</v>
      </c>
      <c r="U16">
        <f>SUMIF(Scoring!K2:K140,A16,Scoring!I2:I140)/SUMIF(Scoring!K2:K140,A16,Scoring!F2:F140)</f>
        <v>0</v>
      </c>
    </row>
    <row r="17" spans="1:21">
      <c r="A17" t="s">
        <v>16</v>
      </c>
      <c r="B17">
        <v>9</v>
      </c>
      <c r="U17">
        <f>SUMIF(Scoring!K2:K140,A17,Scoring!I2:I140)/SUMIF(Scoring!K2:K140,A17,Scoring!F2:F140)</f>
        <v>0</v>
      </c>
    </row>
    <row r="18" spans="1:21">
      <c r="A18" t="s">
        <v>17</v>
      </c>
      <c r="B18">
        <v>4</v>
      </c>
      <c r="U18">
        <f>SUMIF(Scoring!K2:K140,A18,Scoring!I2:I140)/SUMIF(Scoring!K2:K140,A18,Scoring!F2:F140)</f>
        <v>0</v>
      </c>
    </row>
    <row r="19" spans="1:21">
      <c r="A19" t="s">
        <v>18</v>
      </c>
      <c r="B19">
        <v>5</v>
      </c>
      <c r="U19">
        <f>SUMIF(Scoring!K2:K140,A19,Scoring!I2:I140)/SUMIF(Scoring!K2:K140,A19,Scoring!F2:F140)</f>
        <v>0</v>
      </c>
    </row>
    <row r="20" spans="1:21">
      <c r="A20" t="s">
        <v>19</v>
      </c>
      <c r="B20">
        <v>5</v>
      </c>
      <c r="U20">
        <f>SUMIF(Scoring!K2:K140,A20,Scoring!I2:I140)/SUMIF(Scoring!K2:K140,A20,Scoring!F2:F140)</f>
        <v>0</v>
      </c>
    </row>
    <row r="21" spans="1:21">
      <c r="A21" t="s">
        <v>20</v>
      </c>
      <c r="B21">
        <v>6</v>
      </c>
      <c r="U21">
        <f>SUMIF(Scoring!K2:K140,A21,Scoring!I2:I140)/SUMIF(Scoring!K2:K140,A21,Scoring!F2:F140)</f>
        <v>0</v>
      </c>
    </row>
    <row r="22" spans="1:21">
      <c r="A22" t="s">
        <v>21</v>
      </c>
      <c r="B22">
        <v>6</v>
      </c>
      <c r="U22">
        <f>SUMIF(Scoring!K2:K140,A22,Scoring!I2:I140)/SUMIF(Scoring!K2:K140,A22,Scoring!F2:F140)</f>
        <v>0</v>
      </c>
    </row>
    <row r="23" spans="1:21">
      <c r="A23" t="s">
        <v>22</v>
      </c>
      <c r="B23">
        <v>5</v>
      </c>
      <c r="U23">
        <f>SUMIF(Scoring!K2:K140,A23,Scoring!I2:I140)/SUMIF(Scoring!K2:K140,A23,Scoring!F2:F140)</f>
        <v>0</v>
      </c>
    </row>
    <row r="24" spans="1:21">
      <c r="A24" t="s">
        <v>23</v>
      </c>
      <c r="B24">
        <v>6</v>
      </c>
      <c r="U24">
        <f>SUMIF(Scoring!K2:K140,A24,Scoring!I2:I140)/SUMIF(Scoring!K2:K140,A24,Scoring!F2:F140)</f>
        <v>0</v>
      </c>
    </row>
    <row r="25" spans="1:21">
      <c r="A25" t="s">
        <v>24</v>
      </c>
      <c r="B25">
        <v>6</v>
      </c>
      <c r="U25">
        <f>SUMIF(Scoring!K2:K140,A25,Scoring!I2:I140)/SUMIF(Scoring!K2:K140,A25,Scoring!F2:F140)</f>
        <v>0</v>
      </c>
    </row>
    <row r="26" spans="1:21">
      <c r="A26" t="s">
        <v>25</v>
      </c>
      <c r="B26">
        <v>6</v>
      </c>
      <c r="U26">
        <f>SUMIF(Scoring!K2:K140,A26,Scoring!I2:I140)/SUMIF(Scoring!K2:K140,A26,Scoring!F2:F140)</f>
        <v>0</v>
      </c>
    </row>
    <row r="27" spans="1:21">
      <c r="A27" t="s">
        <v>26</v>
      </c>
      <c r="B27">
        <v>6</v>
      </c>
      <c r="U27">
        <f>SUMIF(Scoring!K2:K140,A27,Scoring!I2:I140)/SUMIF(Scoring!K2:K140,A27,Scoring!F2:F140)</f>
        <v>0</v>
      </c>
    </row>
    <row r="28" spans="1:21">
      <c r="A28" t="s">
        <v>27</v>
      </c>
      <c r="B28">
        <v>7</v>
      </c>
      <c r="U28">
        <f>SUMIF(Scoring!K2:K140,A28,Scoring!I2:I140)/SUMIF(Scoring!K2:K140,A28,Scoring!F2:F140)</f>
        <v>0</v>
      </c>
    </row>
    <row r="29" spans="1:21">
      <c r="A29" t="s">
        <v>28</v>
      </c>
      <c r="B29">
        <v>6</v>
      </c>
      <c r="U29">
        <f>SUMIF(Scoring!K2:K140,A29,Scoring!I2:I140)/SUMIF(Scoring!K2:K140,A29,Scoring!F2:F140)</f>
        <v>0</v>
      </c>
    </row>
    <row r="30" spans="1:21">
      <c r="A30" t="s">
        <v>29</v>
      </c>
      <c r="B30">
        <v>7</v>
      </c>
      <c r="U30">
        <f>SUMIF(Scoring!K2:K140,A30,Scoring!I2:I140)/SUMIF(Scoring!K2:K140,A30,Scoring!F2:F140)</f>
        <v>0</v>
      </c>
    </row>
    <row r="31" spans="1:21">
      <c r="A31" t="s">
        <v>30</v>
      </c>
      <c r="B31">
        <v>6</v>
      </c>
      <c r="U31">
        <f>SUMIF(Scoring!K2:K140,A31,Scoring!I2:I140)/SUMIF(Scoring!K2:K140,A31,Scoring!F2:F140)</f>
        <v>0</v>
      </c>
    </row>
    <row r="32" spans="1:21">
      <c r="A32" t="s">
        <v>31</v>
      </c>
      <c r="B32">
        <v>6</v>
      </c>
      <c r="U32">
        <f>SUMIF(Scoring!K2:K140,A32,Scoring!I2:I140)/SUMIF(Scoring!K2:K140,A32,Scoring!F2:F140)</f>
        <v>0</v>
      </c>
    </row>
    <row r="33" spans="1:21">
      <c r="A33" t="s">
        <v>32</v>
      </c>
      <c r="B33">
        <v>6</v>
      </c>
      <c r="U33">
        <f>SUMIF(Scoring!K2:K140,A33,Scoring!I2:I140)/SUMIF(Scoring!K2:K140,A33,Scoring!F2:F140)</f>
        <v>0</v>
      </c>
    </row>
    <row r="34" spans="1:21">
      <c r="B34">
        <f>SUM(Overview!$B$12:$B$33)</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40"/>
  <sheetViews>
    <sheetView workbookViewId="0"/>
  </sheetViews>
  <sheetFormatPr defaultRowHeight="15"/>
  <cols>
    <col min="1" max="1" width="25.42578125" bestFit="1" customWidth="1"/>
    <col min="2" max="2" width="32.42578125" bestFit="1" customWidth="1"/>
    <col min="3" max="3" width="63"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41</v>
      </c>
      <c r="B1" s="2" t="s">
        <v>42</v>
      </c>
      <c r="C1" s="2" t="s">
        <v>43</v>
      </c>
      <c r="D1" s="2" t="s">
        <v>33</v>
      </c>
      <c r="E1" s="2" t="s">
        <v>34</v>
      </c>
      <c r="F1" s="2" t="s">
        <v>35</v>
      </c>
      <c r="G1" s="2" t="s">
        <v>36</v>
      </c>
      <c r="H1" s="2" t="s">
        <v>37</v>
      </c>
      <c r="I1" s="2" t="s">
        <v>38</v>
      </c>
      <c r="J1" s="2" t="s">
        <v>39</v>
      </c>
      <c r="K1" s="2" t="s">
        <v>40</v>
      </c>
    </row>
    <row r="2" spans="1:11">
      <c r="A2" s="2" t="s">
        <v>6</v>
      </c>
      <c r="B2" s="2" t="s">
        <v>22</v>
      </c>
      <c r="C2" s="2" t="s">
        <v>44</v>
      </c>
      <c r="D2" s="3" t="s">
        <v>183</v>
      </c>
      <c r="E2" t="s">
        <v>322</v>
      </c>
      <c r="F2">
        <v>0</v>
      </c>
      <c r="H2" s="1" t="s">
        <v>408</v>
      </c>
      <c r="I2">
        <f>F2*VALUE(LEFT(H2, FIND(":", H2)-1))</f>
        <v>0</v>
      </c>
      <c r="J2" t="s">
        <v>6</v>
      </c>
      <c r="K2" t="s">
        <v>22</v>
      </c>
    </row>
    <row r="3" spans="1:11">
      <c r="A3" s="2"/>
      <c r="B3" s="2"/>
      <c r="C3" s="2" t="s">
        <v>45</v>
      </c>
      <c r="D3" s="3" t="s">
        <v>184</v>
      </c>
      <c r="E3" t="s">
        <v>322</v>
      </c>
      <c r="F3">
        <v>0</v>
      </c>
      <c r="H3" s="1" t="s">
        <v>408</v>
      </c>
      <c r="I3">
        <f>F3*VALUE(LEFT(H3, FIND(":", H3)-1))</f>
        <v>0</v>
      </c>
      <c r="J3" t="s">
        <v>6</v>
      </c>
      <c r="K3" t="s">
        <v>22</v>
      </c>
    </row>
    <row r="4" spans="1:11">
      <c r="A4" s="2"/>
      <c r="B4" s="2"/>
      <c r="C4" s="2" t="s">
        <v>46</v>
      </c>
      <c r="D4" s="3" t="s">
        <v>185</v>
      </c>
      <c r="E4" t="s">
        <v>322</v>
      </c>
      <c r="F4">
        <v>0</v>
      </c>
      <c r="H4" s="1" t="s">
        <v>408</v>
      </c>
      <c r="I4">
        <f>F4*VALUE(LEFT(H4, FIND(":", H4)-1))</f>
        <v>0</v>
      </c>
      <c r="J4" t="s">
        <v>6</v>
      </c>
      <c r="K4" t="s">
        <v>22</v>
      </c>
    </row>
    <row r="5" spans="1:11">
      <c r="A5" s="2"/>
      <c r="B5" s="2"/>
      <c r="C5" s="2" t="s">
        <v>47</v>
      </c>
      <c r="D5" s="3" t="s">
        <v>186</v>
      </c>
      <c r="E5" t="s">
        <v>323</v>
      </c>
      <c r="F5">
        <v>1</v>
      </c>
      <c r="H5" s="1" t="s">
        <v>409</v>
      </c>
      <c r="I5">
        <f>F5*VALUE(LEFT(H5, FIND(":", H5)-1))</f>
        <v>0</v>
      </c>
      <c r="J5" t="s">
        <v>6</v>
      </c>
      <c r="K5" t="s">
        <v>22</v>
      </c>
    </row>
    <row r="6" spans="1:11">
      <c r="A6" s="2"/>
      <c r="B6" s="2"/>
      <c r="C6" s="2" t="s">
        <v>48</v>
      </c>
      <c r="D6" s="3" t="s">
        <v>187</v>
      </c>
      <c r="E6" t="s">
        <v>322</v>
      </c>
      <c r="F6">
        <v>0</v>
      </c>
      <c r="H6" s="1" t="s">
        <v>408</v>
      </c>
      <c r="I6">
        <f>F6*VALUE(LEFT(H6, FIND(":", H6)-1))</f>
        <v>0</v>
      </c>
      <c r="J6" t="s">
        <v>6</v>
      </c>
      <c r="K6" t="s">
        <v>22</v>
      </c>
    </row>
    <row r="7" spans="1:11">
      <c r="A7" s="2"/>
      <c r="B7" s="2" t="s">
        <v>18</v>
      </c>
      <c r="C7" s="2" t="s">
        <v>49</v>
      </c>
      <c r="D7" s="3" t="s">
        <v>188</v>
      </c>
      <c r="E7" t="s">
        <v>324</v>
      </c>
      <c r="F7">
        <v>1</v>
      </c>
      <c r="G7" s="1" t="s">
        <v>331</v>
      </c>
      <c r="H7" s="1" t="s">
        <v>410</v>
      </c>
      <c r="I7">
        <f>F7*VALUE(LEFT(H7, FIND(":", H7)-1))</f>
        <v>0</v>
      </c>
      <c r="J7" t="s">
        <v>6</v>
      </c>
      <c r="K7" t="s">
        <v>18</v>
      </c>
    </row>
    <row r="8" spans="1:11">
      <c r="A8" s="2"/>
      <c r="B8" s="2"/>
      <c r="C8" s="2" t="s">
        <v>50</v>
      </c>
      <c r="D8" s="3" t="s">
        <v>189</v>
      </c>
      <c r="E8" t="s">
        <v>324</v>
      </c>
      <c r="F8">
        <v>1</v>
      </c>
      <c r="G8" s="1" t="s">
        <v>332</v>
      </c>
      <c r="H8" s="1" t="s">
        <v>411</v>
      </c>
      <c r="I8">
        <f>F8*VALUE(LEFT(H8, FIND(":", H8)-1))</f>
        <v>0</v>
      </c>
      <c r="J8" t="s">
        <v>6</v>
      </c>
      <c r="K8" t="s">
        <v>18</v>
      </c>
    </row>
    <row r="9" spans="1:11">
      <c r="A9" s="2"/>
      <c r="B9" s="2"/>
      <c r="C9" s="2" t="s">
        <v>51</v>
      </c>
      <c r="D9" s="3" t="s">
        <v>190</v>
      </c>
      <c r="E9" t="s">
        <v>324</v>
      </c>
      <c r="F9">
        <v>1</v>
      </c>
      <c r="G9" s="1" t="s">
        <v>333</v>
      </c>
      <c r="H9" s="1" t="s">
        <v>411</v>
      </c>
      <c r="I9">
        <f>F9*VALUE(LEFT(H9, FIND(":", H9)-1))</f>
        <v>0</v>
      </c>
      <c r="J9" t="s">
        <v>6</v>
      </c>
      <c r="K9" t="s">
        <v>18</v>
      </c>
    </row>
    <row r="10" spans="1:11">
      <c r="A10" s="2"/>
      <c r="B10" s="2"/>
      <c r="C10" s="2" t="s">
        <v>52</v>
      </c>
      <c r="D10" s="3" t="s">
        <v>191</v>
      </c>
      <c r="E10" t="s">
        <v>325</v>
      </c>
      <c r="F10">
        <v>1</v>
      </c>
      <c r="G10" s="1" t="s">
        <v>334</v>
      </c>
      <c r="H10" s="1" t="s">
        <v>411</v>
      </c>
      <c r="I10">
        <f>F10*VALUE(LEFT(H10, FIND(":", H10)-1))</f>
        <v>0</v>
      </c>
      <c r="J10" t="s">
        <v>6</v>
      </c>
      <c r="K10" t="s">
        <v>18</v>
      </c>
    </row>
    <row r="11" spans="1:11">
      <c r="A11" s="2"/>
      <c r="B11" s="2"/>
      <c r="C11" s="2" t="s">
        <v>53</v>
      </c>
      <c r="D11" s="3" t="s">
        <v>192</v>
      </c>
      <c r="E11" t="s">
        <v>322</v>
      </c>
      <c r="F11">
        <v>0</v>
      </c>
      <c r="G11" s="1" t="s">
        <v>335</v>
      </c>
      <c r="H11" s="1" t="s">
        <v>411</v>
      </c>
      <c r="I11">
        <f>F11*VALUE(LEFT(H11, FIND(":", H11)-1))</f>
        <v>0</v>
      </c>
      <c r="J11" t="s">
        <v>6</v>
      </c>
      <c r="K11" t="s">
        <v>18</v>
      </c>
    </row>
    <row r="12" spans="1:11">
      <c r="A12" s="2"/>
      <c r="B12" s="2" t="s">
        <v>19</v>
      </c>
      <c r="C12" s="2" t="s">
        <v>54</v>
      </c>
      <c r="D12" s="3" t="s">
        <v>193</v>
      </c>
      <c r="E12" t="s">
        <v>322</v>
      </c>
      <c r="F12">
        <v>0</v>
      </c>
      <c r="H12" s="1" t="s">
        <v>408</v>
      </c>
      <c r="I12">
        <f>F12*VALUE(LEFT(H12, FIND(":", H12)-1))</f>
        <v>0</v>
      </c>
      <c r="J12" t="s">
        <v>6</v>
      </c>
      <c r="K12" t="s">
        <v>19</v>
      </c>
    </row>
    <row r="13" spans="1:11">
      <c r="A13" s="2"/>
      <c r="B13" s="2"/>
      <c r="C13" s="2" t="s">
        <v>55</v>
      </c>
      <c r="D13" s="3" t="s">
        <v>194</v>
      </c>
      <c r="E13" t="s">
        <v>322</v>
      </c>
      <c r="F13">
        <v>0</v>
      </c>
      <c r="H13" s="1" t="s">
        <v>408</v>
      </c>
      <c r="I13">
        <f>F13*VALUE(LEFT(H13, FIND(":", H13)-1))</f>
        <v>0</v>
      </c>
      <c r="J13" t="s">
        <v>6</v>
      </c>
      <c r="K13" t="s">
        <v>19</v>
      </c>
    </row>
    <row r="14" spans="1:11">
      <c r="A14" s="2"/>
      <c r="B14" s="2"/>
      <c r="C14" s="2" t="s">
        <v>56</v>
      </c>
      <c r="D14" s="3" t="s">
        <v>195</v>
      </c>
      <c r="E14" t="s">
        <v>322</v>
      </c>
      <c r="F14">
        <v>0</v>
      </c>
      <c r="H14" s="1" t="s">
        <v>408</v>
      </c>
      <c r="I14">
        <f>F14*VALUE(LEFT(H14, FIND(":", H14)-1))</f>
        <v>0</v>
      </c>
      <c r="J14" t="s">
        <v>6</v>
      </c>
      <c r="K14" t="s">
        <v>19</v>
      </c>
    </row>
    <row r="15" spans="1:11">
      <c r="A15" s="2"/>
      <c r="B15" s="2"/>
      <c r="C15" s="2" t="s">
        <v>57</v>
      </c>
      <c r="D15" s="3" t="s">
        <v>196</v>
      </c>
      <c r="E15" t="s">
        <v>323</v>
      </c>
      <c r="F15">
        <v>1</v>
      </c>
      <c r="G15" s="1" t="s">
        <v>336</v>
      </c>
      <c r="H15" s="1" t="s">
        <v>411</v>
      </c>
      <c r="I15">
        <f>F15*VALUE(LEFT(H15, FIND(":", H15)-1))</f>
        <v>0</v>
      </c>
      <c r="J15" t="s">
        <v>6</v>
      </c>
      <c r="K15" t="s">
        <v>19</v>
      </c>
    </row>
    <row r="16" spans="1:11">
      <c r="A16" s="2"/>
      <c r="B16" s="2"/>
      <c r="C16" s="2" t="s">
        <v>58</v>
      </c>
      <c r="D16" s="3" t="s">
        <v>197</v>
      </c>
      <c r="E16" t="s">
        <v>322</v>
      </c>
      <c r="F16">
        <v>0</v>
      </c>
      <c r="H16" s="1" t="s">
        <v>408</v>
      </c>
      <c r="I16">
        <f>F16*VALUE(LEFT(H16, FIND(":", H16)-1))</f>
        <v>0</v>
      </c>
      <c r="J16" t="s">
        <v>6</v>
      </c>
      <c r="K16" t="s">
        <v>19</v>
      </c>
    </row>
    <row r="17" spans="1:11">
      <c r="A17" s="2"/>
      <c r="B17" s="2" t="s">
        <v>20</v>
      </c>
      <c r="C17" s="2" t="s">
        <v>59</v>
      </c>
      <c r="D17" s="3" t="s">
        <v>198</v>
      </c>
      <c r="E17" t="s">
        <v>323</v>
      </c>
      <c r="F17">
        <v>1</v>
      </c>
      <c r="H17" s="1" t="s">
        <v>412</v>
      </c>
      <c r="I17">
        <f>F17*VALUE(LEFT(H17, FIND(":", H17)-1))</f>
        <v>0</v>
      </c>
      <c r="J17" t="s">
        <v>6</v>
      </c>
      <c r="K17" t="s">
        <v>20</v>
      </c>
    </row>
    <row r="18" spans="1:11">
      <c r="A18" s="2"/>
      <c r="B18" s="2"/>
      <c r="C18" s="2" t="s">
        <v>60</v>
      </c>
      <c r="D18" s="3" t="s">
        <v>199</v>
      </c>
      <c r="E18" t="s">
        <v>322</v>
      </c>
      <c r="F18">
        <v>0</v>
      </c>
      <c r="H18" s="1" t="s">
        <v>408</v>
      </c>
      <c r="I18">
        <f>F18*VALUE(LEFT(H18, FIND(":", H18)-1))</f>
        <v>0</v>
      </c>
      <c r="J18" t="s">
        <v>6</v>
      </c>
      <c r="K18" t="s">
        <v>20</v>
      </c>
    </row>
    <row r="19" spans="1:11">
      <c r="A19" s="2"/>
      <c r="B19" s="2"/>
      <c r="C19" s="2" t="s">
        <v>61</v>
      </c>
      <c r="D19" s="3" t="s">
        <v>200</v>
      </c>
      <c r="E19" t="s">
        <v>322</v>
      </c>
      <c r="F19">
        <v>0</v>
      </c>
      <c r="H19" s="1" t="s">
        <v>408</v>
      </c>
      <c r="I19">
        <f>F19*VALUE(LEFT(H19, FIND(":", H19)-1))</f>
        <v>0</v>
      </c>
      <c r="J19" t="s">
        <v>6</v>
      </c>
      <c r="K19" t="s">
        <v>20</v>
      </c>
    </row>
    <row r="20" spans="1:11">
      <c r="A20" s="2"/>
      <c r="B20" s="2"/>
      <c r="C20" s="2" t="s">
        <v>62</v>
      </c>
      <c r="D20" s="3" t="s">
        <v>201</v>
      </c>
      <c r="E20" t="s">
        <v>322</v>
      </c>
      <c r="F20">
        <v>0</v>
      </c>
      <c r="H20" s="1" t="s">
        <v>408</v>
      </c>
      <c r="I20">
        <f>F20*VALUE(LEFT(H20, FIND(":", H20)-1))</f>
        <v>0</v>
      </c>
      <c r="J20" t="s">
        <v>6</v>
      </c>
      <c r="K20" t="s">
        <v>20</v>
      </c>
    </row>
    <row r="21" spans="1:11">
      <c r="A21" s="2"/>
      <c r="B21" s="2"/>
      <c r="C21" s="2" t="s">
        <v>63</v>
      </c>
      <c r="D21" s="3" t="s">
        <v>202</v>
      </c>
      <c r="E21" t="s">
        <v>322</v>
      </c>
      <c r="F21">
        <v>0</v>
      </c>
      <c r="H21" s="1" t="s">
        <v>408</v>
      </c>
      <c r="I21">
        <f>F21*VALUE(LEFT(H21, FIND(":", H21)-1))</f>
        <v>0</v>
      </c>
      <c r="J21" t="s">
        <v>6</v>
      </c>
      <c r="K21" t="s">
        <v>20</v>
      </c>
    </row>
    <row r="22" spans="1:11">
      <c r="A22" s="2"/>
      <c r="B22" s="2"/>
      <c r="C22" s="2" t="s">
        <v>64</v>
      </c>
      <c r="D22" s="3" t="s">
        <v>203</v>
      </c>
      <c r="E22" t="s">
        <v>322</v>
      </c>
      <c r="F22">
        <v>0</v>
      </c>
      <c r="H22" s="1" t="s">
        <v>408</v>
      </c>
      <c r="I22">
        <f>F22*VALUE(LEFT(H22, FIND(":", H22)-1))</f>
        <v>0</v>
      </c>
      <c r="J22" t="s">
        <v>6</v>
      </c>
      <c r="K22" t="s">
        <v>20</v>
      </c>
    </row>
    <row r="23" spans="1:11">
      <c r="A23" s="2"/>
      <c r="B23" s="2" t="s">
        <v>14</v>
      </c>
      <c r="C23" s="2" t="s">
        <v>65</v>
      </c>
      <c r="D23" s="3" t="s">
        <v>204</v>
      </c>
      <c r="E23" t="s">
        <v>322</v>
      </c>
      <c r="F23">
        <v>0</v>
      </c>
      <c r="H23" s="1" t="s">
        <v>408</v>
      </c>
      <c r="I23">
        <f>F23*VALUE(LEFT(H23, FIND(":", H23)-1))</f>
        <v>0</v>
      </c>
      <c r="J23" t="s">
        <v>6</v>
      </c>
      <c r="K23" t="s">
        <v>14</v>
      </c>
    </row>
    <row r="24" spans="1:11">
      <c r="A24" s="2"/>
      <c r="B24" s="2"/>
      <c r="C24" s="2" t="s">
        <v>66</v>
      </c>
      <c r="D24" s="3" t="s">
        <v>205</v>
      </c>
      <c r="E24" t="s">
        <v>323</v>
      </c>
      <c r="F24">
        <v>1</v>
      </c>
      <c r="H24" s="1" t="s">
        <v>413</v>
      </c>
      <c r="I24">
        <f>F24*VALUE(LEFT(H24, FIND(":", H24)-1))</f>
        <v>0</v>
      </c>
      <c r="J24" t="s">
        <v>6</v>
      </c>
      <c r="K24" t="s">
        <v>14</v>
      </c>
    </row>
    <row r="25" spans="1:11">
      <c r="A25" s="2"/>
      <c r="B25" s="2"/>
      <c r="C25" s="2" t="s">
        <v>67</v>
      </c>
      <c r="D25" s="3" t="s">
        <v>206</v>
      </c>
      <c r="E25" t="s">
        <v>322</v>
      </c>
      <c r="F25">
        <v>0</v>
      </c>
      <c r="H25" s="1" t="s">
        <v>408</v>
      </c>
      <c r="I25">
        <f>F25*VALUE(LEFT(H25, FIND(":", H25)-1))</f>
        <v>0</v>
      </c>
      <c r="J25" t="s">
        <v>6</v>
      </c>
      <c r="K25" t="s">
        <v>14</v>
      </c>
    </row>
    <row r="26" spans="1:11">
      <c r="A26" s="2"/>
      <c r="B26" s="2"/>
      <c r="C26" s="2" t="s">
        <v>68</v>
      </c>
      <c r="D26" s="3" t="s">
        <v>207</v>
      </c>
      <c r="E26" t="s">
        <v>323</v>
      </c>
      <c r="F26">
        <v>1</v>
      </c>
      <c r="G26" s="1" t="s">
        <v>337</v>
      </c>
      <c r="H26" s="1" t="s">
        <v>411</v>
      </c>
      <c r="I26">
        <f>F26*VALUE(LEFT(H26, FIND(":", H26)-1))</f>
        <v>0</v>
      </c>
      <c r="J26" t="s">
        <v>6</v>
      </c>
      <c r="K26" t="s">
        <v>14</v>
      </c>
    </row>
    <row r="27" spans="1:11">
      <c r="A27" s="2"/>
      <c r="B27" s="2"/>
      <c r="C27" s="2" t="s">
        <v>69</v>
      </c>
      <c r="D27" s="3" t="s">
        <v>208</v>
      </c>
      <c r="E27" t="s">
        <v>322</v>
      </c>
      <c r="F27">
        <v>0</v>
      </c>
      <c r="H27" s="1" t="s">
        <v>408</v>
      </c>
      <c r="I27">
        <f>F27*VALUE(LEFT(H27, FIND(":", H27)-1))</f>
        <v>0</v>
      </c>
      <c r="J27" t="s">
        <v>6</v>
      </c>
      <c r="K27" t="s">
        <v>14</v>
      </c>
    </row>
    <row r="28" spans="1:11">
      <c r="A28" s="2"/>
      <c r="B28" s="2" t="s">
        <v>23</v>
      </c>
      <c r="C28" s="2" t="s">
        <v>70</v>
      </c>
      <c r="D28" s="3" t="s">
        <v>209</v>
      </c>
      <c r="E28" t="s">
        <v>324</v>
      </c>
      <c r="F28">
        <v>1</v>
      </c>
      <c r="G28" s="1" t="s">
        <v>338</v>
      </c>
      <c r="H28" s="1" t="s">
        <v>411</v>
      </c>
      <c r="I28">
        <f>F28*VALUE(LEFT(H28, FIND(":", H28)-1))</f>
        <v>0</v>
      </c>
      <c r="J28" t="s">
        <v>6</v>
      </c>
      <c r="K28" t="s">
        <v>23</v>
      </c>
    </row>
    <row r="29" spans="1:11">
      <c r="A29" s="2"/>
      <c r="B29" s="2"/>
      <c r="C29" s="2" t="s">
        <v>71</v>
      </c>
      <c r="D29" s="3" t="s">
        <v>210</v>
      </c>
      <c r="E29" t="s">
        <v>324</v>
      </c>
      <c r="F29">
        <v>1</v>
      </c>
      <c r="G29" s="1" t="s">
        <v>339</v>
      </c>
      <c r="H29" s="1" t="s">
        <v>411</v>
      </c>
      <c r="I29">
        <f>F29*VALUE(LEFT(H29, FIND(":", H29)-1))</f>
        <v>0</v>
      </c>
      <c r="J29" t="s">
        <v>6</v>
      </c>
      <c r="K29" t="s">
        <v>23</v>
      </c>
    </row>
    <row r="30" spans="1:11">
      <c r="A30" s="2"/>
      <c r="B30" s="2"/>
      <c r="C30" s="2" t="s">
        <v>72</v>
      </c>
      <c r="D30" s="3" t="s">
        <v>211</v>
      </c>
      <c r="E30" t="s">
        <v>324</v>
      </c>
      <c r="F30">
        <v>1</v>
      </c>
      <c r="G30" s="1" t="s">
        <v>340</v>
      </c>
      <c r="H30" s="1" t="s">
        <v>411</v>
      </c>
      <c r="I30">
        <f>F30*VALUE(LEFT(H30, FIND(":", H30)-1))</f>
        <v>0</v>
      </c>
      <c r="J30" t="s">
        <v>6</v>
      </c>
      <c r="K30" t="s">
        <v>23</v>
      </c>
    </row>
    <row r="31" spans="1:11">
      <c r="A31" s="2"/>
      <c r="B31" s="2"/>
      <c r="C31" s="2" t="s">
        <v>73</v>
      </c>
      <c r="D31" s="3" t="s">
        <v>212</v>
      </c>
      <c r="E31" t="s">
        <v>326</v>
      </c>
      <c r="F31">
        <v>1</v>
      </c>
      <c r="G31" s="1" t="s">
        <v>341</v>
      </c>
      <c r="H31" s="1" t="s">
        <v>411</v>
      </c>
      <c r="I31">
        <f>F31*VALUE(LEFT(H31, FIND(":", H31)-1))</f>
        <v>0</v>
      </c>
      <c r="J31" t="s">
        <v>6</v>
      </c>
      <c r="K31" t="s">
        <v>23</v>
      </c>
    </row>
    <row r="32" spans="1:11">
      <c r="A32" s="2"/>
      <c r="B32" s="2"/>
      <c r="C32" s="2" t="s">
        <v>74</v>
      </c>
      <c r="D32" s="3" t="s">
        <v>213</v>
      </c>
      <c r="E32" t="s">
        <v>324</v>
      </c>
      <c r="F32">
        <v>1</v>
      </c>
      <c r="G32" s="1" t="s">
        <v>342</v>
      </c>
      <c r="H32" s="1" t="s">
        <v>411</v>
      </c>
      <c r="I32">
        <f>F32*VALUE(LEFT(H32, FIND(":", H32)-1))</f>
        <v>0</v>
      </c>
      <c r="J32" t="s">
        <v>6</v>
      </c>
      <c r="K32" t="s">
        <v>23</v>
      </c>
    </row>
    <row r="33" spans="1:11">
      <c r="A33" s="2"/>
      <c r="B33" s="2"/>
      <c r="C33" s="2" t="s">
        <v>75</v>
      </c>
      <c r="D33" s="3" t="s">
        <v>214</v>
      </c>
      <c r="E33" t="s">
        <v>327</v>
      </c>
      <c r="F33">
        <v>1</v>
      </c>
      <c r="G33" s="1" t="s">
        <v>343</v>
      </c>
      <c r="H33" s="1" t="s">
        <v>411</v>
      </c>
      <c r="I33">
        <f>F33*VALUE(LEFT(H33, FIND(":", H33)-1))</f>
        <v>0</v>
      </c>
      <c r="J33" t="s">
        <v>6</v>
      </c>
      <c r="K33" t="s">
        <v>23</v>
      </c>
    </row>
    <row r="34" spans="1:11">
      <c r="A34" s="2"/>
      <c r="B34" s="2" t="s">
        <v>24</v>
      </c>
      <c r="C34" s="2" t="s">
        <v>76</v>
      </c>
      <c r="D34" s="3" t="s">
        <v>215</v>
      </c>
      <c r="E34" t="s">
        <v>322</v>
      </c>
      <c r="F34">
        <v>0</v>
      </c>
      <c r="H34" s="1" t="s">
        <v>408</v>
      </c>
      <c r="I34">
        <f>F34*VALUE(LEFT(H34, FIND(":", H34)-1))</f>
        <v>0</v>
      </c>
      <c r="J34" t="s">
        <v>6</v>
      </c>
      <c r="K34" t="s">
        <v>24</v>
      </c>
    </row>
    <row r="35" spans="1:11">
      <c r="A35" s="2"/>
      <c r="B35" s="2"/>
      <c r="C35" s="2" t="s">
        <v>77</v>
      </c>
      <c r="D35" s="3" t="s">
        <v>216</v>
      </c>
      <c r="E35" t="s">
        <v>322</v>
      </c>
      <c r="F35">
        <v>0</v>
      </c>
      <c r="H35" s="1" t="s">
        <v>408</v>
      </c>
      <c r="I35">
        <f>F35*VALUE(LEFT(H35, FIND(":", H35)-1))</f>
        <v>0</v>
      </c>
      <c r="J35" t="s">
        <v>6</v>
      </c>
      <c r="K35" t="s">
        <v>24</v>
      </c>
    </row>
    <row r="36" spans="1:11">
      <c r="A36" s="2"/>
      <c r="B36" s="2"/>
      <c r="C36" s="2" t="s">
        <v>78</v>
      </c>
      <c r="D36" s="3" t="s">
        <v>217</v>
      </c>
      <c r="E36" t="s">
        <v>323</v>
      </c>
      <c r="F36">
        <v>1</v>
      </c>
      <c r="H36" s="1" t="s">
        <v>412</v>
      </c>
      <c r="I36">
        <f>F36*VALUE(LEFT(H36, FIND(":", H36)-1))</f>
        <v>0</v>
      </c>
      <c r="J36" t="s">
        <v>6</v>
      </c>
      <c r="K36" t="s">
        <v>24</v>
      </c>
    </row>
    <row r="37" spans="1:11">
      <c r="A37" s="2"/>
      <c r="B37" s="2"/>
      <c r="C37" s="2" t="s">
        <v>79</v>
      </c>
      <c r="D37" s="3" t="s">
        <v>218</v>
      </c>
      <c r="E37" t="s">
        <v>322</v>
      </c>
      <c r="F37">
        <v>0</v>
      </c>
      <c r="H37" s="1" t="s">
        <v>408</v>
      </c>
      <c r="I37">
        <f>F37*VALUE(LEFT(H37, FIND(":", H37)-1))</f>
        <v>0</v>
      </c>
      <c r="J37" t="s">
        <v>6</v>
      </c>
      <c r="K37" t="s">
        <v>24</v>
      </c>
    </row>
    <row r="38" spans="1:11">
      <c r="A38" s="2"/>
      <c r="B38" s="2"/>
      <c r="C38" s="2" t="s">
        <v>80</v>
      </c>
      <c r="D38" s="3" t="s">
        <v>219</v>
      </c>
      <c r="E38" t="s">
        <v>322</v>
      </c>
      <c r="F38">
        <v>0</v>
      </c>
      <c r="H38" s="1" t="s">
        <v>408</v>
      </c>
      <c r="I38">
        <f>F38*VALUE(LEFT(H38, FIND(":", H38)-1))</f>
        <v>0</v>
      </c>
      <c r="J38" t="s">
        <v>6</v>
      </c>
      <c r="K38" t="s">
        <v>24</v>
      </c>
    </row>
    <row r="39" spans="1:11">
      <c r="A39" s="2"/>
      <c r="B39" s="2"/>
      <c r="C39" s="2" t="s">
        <v>81</v>
      </c>
      <c r="D39" s="3" t="s">
        <v>220</v>
      </c>
      <c r="E39" t="s">
        <v>323</v>
      </c>
      <c r="F39">
        <v>1</v>
      </c>
      <c r="H39" s="1" t="s">
        <v>412</v>
      </c>
      <c r="I39">
        <f>F39*VALUE(LEFT(H39, FIND(":", H39)-1))</f>
        <v>0</v>
      </c>
      <c r="J39" t="s">
        <v>6</v>
      </c>
      <c r="K39" t="s">
        <v>24</v>
      </c>
    </row>
    <row r="40" spans="1:11">
      <c r="A40" s="2"/>
      <c r="B40" s="2" t="s">
        <v>17</v>
      </c>
      <c r="C40" s="2" t="s">
        <v>82</v>
      </c>
      <c r="D40" s="3" t="s">
        <v>221</v>
      </c>
      <c r="E40" t="s">
        <v>328</v>
      </c>
      <c r="F40">
        <v>1</v>
      </c>
      <c r="H40" s="1" t="s">
        <v>414</v>
      </c>
      <c r="I40">
        <f>F40*VALUE(LEFT(H40, FIND(":", H40)-1))</f>
        <v>0</v>
      </c>
      <c r="J40" t="s">
        <v>6</v>
      </c>
      <c r="K40" t="s">
        <v>17</v>
      </c>
    </row>
    <row r="41" spans="1:11">
      <c r="A41" s="2"/>
      <c r="B41" s="2"/>
      <c r="C41" s="2" t="s">
        <v>83</v>
      </c>
      <c r="D41" s="3" t="s">
        <v>222</v>
      </c>
      <c r="E41" t="s">
        <v>328</v>
      </c>
      <c r="F41">
        <v>0</v>
      </c>
      <c r="G41" s="1" t="s">
        <v>344</v>
      </c>
      <c r="H41" s="1" t="s">
        <v>411</v>
      </c>
      <c r="I41">
        <f>F41*VALUE(LEFT(H41, FIND(":", H41)-1))</f>
        <v>0</v>
      </c>
      <c r="J41" t="s">
        <v>6</v>
      </c>
      <c r="K41" t="s">
        <v>17</v>
      </c>
    </row>
    <row r="42" spans="1:11">
      <c r="A42" s="2"/>
      <c r="B42" s="2"/>
      <c r="C42" s="2" t="s">
        <v>84</v>
      </c>
      <c r="D42" s="3" t="s">
        <v>223</v>
      </c>
      <c r="E42" t="s">
        <v>328</v>
      </c>
      <c r="F42">
        <v>0</v>
      </c>
      <c r="G42" s="1" t="s">
        <v>345</v>
      </c>
      <c r="H42" s="1" t="s">
        <v>411</v>
      </c>
      <c r="I42">
        <f>F42*VALUE(LEFT(H42, FIND(":", H42)-1))</f>
        <v>0</v>
      </c>
      <c r="J42" t="s">
        <v>6</v>
      </c>
      <c r="K42" t="s">
        <v>17</v>
      </c>
    </row>
    <row r="43" spans="1:11">
      <c r="A43" s="2"/>
      <c r="B43" s="2"/>
      <c r="C43" s="2" t="s">
        <v>85</v>
      </c>
      <c r="D43" s="3" t="s">
        <v>224</v>
      </c>
      <c r="E43" t="s">
        <v>328</v>
      </c>
      <c r="F43">
        <v>0</v>
      </c>
      <c r="G43" s="1" t="s">
        <v>346</v>
      </c>
      <c r="H43" s="1" t="s">
        <v>411</v>
      </c>
      <c r="I43">
        <f>F43*VALUE(LEFT(H43, FIND(":", H43)-1))</f>
        <v>0</v>
      </c>
      <c r="J43" t="s">
        <v>6</v>
      </c>
      <c r="K43" t="s">
        <v>17</v>
      </c>
    </row>
    <row r="44" spans="1:11">
      <c r="A44" s="2" t="s">
        <v>7</v>
      </c>
      <c r="B44" s="2" t="s">
        <v>13</v>
      </c>
      <c r="C44" s="2" t="s">
        <v>86</v>
      </c>
      <c r="D44" s="3" t="s">
        <v>225</v>
      </c>
      <c r="E44" t="s">
        <v>323</v>
      </c>
      <c r="F44">
        <v>1</v>
      </c>
      <c r="H44" s="1" t="s">
        <v>415</v>
      </c>
      <c r="I44">
        <f>F44*VALUE(LEFT(H44, FIND(":", H44)-1))</f>
        <v>0</v>
      </c>
      <c r="J44" t="s">
        <v>7</v>
      </c>
      <c r="K44" t="s">
        <v>13</v>
      </c>
    </row>
    <row r="45" spans="1:11">
      <c r="A45" s="2"/>
      <c r="B45" s="2"/>
      <c r="C45" s="2" t="s">
        <v>87</v>
      </c>
      <c r="D45" s="3" t="s">
        <v>226</v>
      </c>
      <c r="E45" t="s">
        <v>323</v>
      </c>
      <c r="F45">
        <v>1</v>
      </c>
      <c r="G45" s="1" t="s">
        <v>347</v>
      </c>
      <c r="H45" s="1" t="s">
        <v>411</v>
      </c>
      <c r="I45">
        <f>F45*VALUE(LEFT(H45, FIND(":", H45)-1))</f>
        <v>0</v>
      </c>
      <c r="J45" t="s">
        <v>7</v>
      </c>
      <c r="K45" t="s">
        <v>13</v>
      </c>
    </row>
    <row r="46" spans="1:11">
      <c r="A46" s="2"/>
      <c r="B46" s="2"/>
      <c r="C46" s="2" t="s">
        <v>88</v>
      </c>
      <c r="D46" s="3" t="s">
        <v>227</v>
      </c>
      <c r="E46" t="s">
        <v>323</v>
      </c>
      <c r="F46">
        <v>1</v>
      </c>
      <c r="H46" s="1" t="s">
        <v>416</v>
      </c>
      <c r="I46">
        <f>F46*VALUE(LEFT(H46, FIND(":", H46)-1))</f>
        <v>0</v>
      </c>
      <c r="J46" t="s">
        <v>7</v>
      </c>
      <c r="K46" t="s">
        <v>13</v>
      </c>
    </row>
    <row r="47" spans="1:11">
      <c r="A47" s="2"/>
      <c r="B47" s="2"/>
      <c r="C47" s="2" t="s">
        <v>89</v>
      </c>
      <c r="D47" s="3" t="s">
        <v>228</v>
      </c>
      <c r="E47" t="s">
        <v>322</v>
      </c>
      <c r="F47">
        <v>0</v>
      </c>
      <c r="H47" s="1" t="s">
        <v>408</v>
      </c>
      <c r="I47">
        <f>F47*VALUE(LEFT(H47, FIND(":", H47)-1))</f>
        <v>0</v>
      </c>
      <c r="J47" t="s">
        <v>7</v>
      </c>
      <c r="K47" t="s">
        <v>13</v>
      </c>
    </row>
    <row r="48" spans="1:11">
      <c r="A48" s="2"/>
      <c r="B48" s="2"/>
      <c r="C48" s="2" t="s">
        <v>90</v>
      </c>
      <c r="D48" s="3" t="s">
        <v>229</v>
      </c>
      <c r="E48" t="s">
        <v>322</v>
      </c>
      <c r="F48">
        <v>0</v>
      </c>
      <c r="H48" s="1" t="s">
        <v>408</v>
      </c>
      <c r="I48">
        <f>F48*VALUE(LEFT(H48, FIND(":", H48)-1))</f>
        <v>0</v>
      </c>
      <c r="J48" t="s">
        <v>7</v>
      </c>
      <c r="K48" t="s">
        <v>13</v>
      </c>
    </row>
    <row r="49" spans="1:11">
      <c r="A49" s="2"/>
      <c r="B49" s="2"/>
      <c r="C49" s="2" t="s">
        <v>91</v>
      </c>
      <c r="D49" s="3" t="s">
        <v>230</v>
      </c>
      <c r="E49" t="s">
        <v>322</v>
      </c>
      <c r="F49">
        <v>0</v>
      </c>
      <c r="H49" s="1" t="s">
        <v>408</v>
      </c>
      <c r="I49">
        <f>F49*VALUE(LEFT(H49, FIND(":", H49)-1))</f>
        <v>0</v>
      </c>
      <c r="J49" t="s">
        <v>7</v>
      </c>
      <c r="K49" t="s">
        <v>13</v>
      </c>
    </row>
    <row r="50" spans="1:11">
      <c r="A50" s="2"/>
      <c r="B50" s="2"/>
      <c r="C50" s="2" t="s">
        <v>92</v>
      </c>
      <c r="D50" s="3" t="s">
        <v>231</v>
      </c>
      <c r="E50" t="s">
        <v>322</v>
      </c>
      <c r="F50">
        <v>0</v>
      </c>
      <c r="H50" s="1" t="s">
        <v>408</v>
      </c>
      <c r="I50">
        <f>F50*VALUE(LEFT(H50, FIND(":", H50)-1))</f>
        <v>0</v>
      </c>
      <c r="J50" t="s">
        <v>7</v>
      </c>
      <c r="K50" t="s">
        <v>13</v>
      </c>
    </row>
    <row r="51" spans="1:11">
      <c r="A51" s="2"/>
      <c r="B51" s="2"/>
      <c r="C51" s="2" t="s">
        <v>93</v>
      </c>
      <c r="D51" s="3" t="s">
        <v>232</v>
      </c>
      <c r="E51" t="s">
        <v>322</v>
      </c>
      <c r="F51">
        <v>0</v>
      </c>
      <c r="H51" s="1" t="s">
        <v>408</v>
      </c>
      <c r="I51">
        <f>F51*VALUE(LEFT(H51, FIND(":", H51)-1))</f>
        <v>0</v>
      </c>
      <c r="J51" t="s">
        <v>7</v>
      </c>
      <c r="K51" t="s">
        <v>13</v>
      </c>
    </row>
    <row r="52" spans="1:11">
      <c r="A52" s="2"/>
      <c r="B52" s="2"/>
      <c r="C52" s="2" t="s">
        <v>94</v>
      </c>
      <c r="D52" s="3" t="s">
        <v>233</v>
      </c>
      <c r="E52" t="s">
        <v>323</v>
      </c>
      <c r="F52">
        <v>1</v>
      </c>
      <c r="G52" s="1" t="s">
        <v>348</v>
      </c>
      <c r="H52" s="1" t="s">
        <v>411</v>
      </c>
      <c r="I52">
        <f>F52*VALUE(LEFT(H52, FIND(":", H52)-1))</f>
        <v>0</v>
      </c>
      <c r="J52" t="s">
        <v>7</v>
      </c>
      <c r="K52" t="s">
        <v>13</v>
      </c>
    </row>
    <row r="53" spans="1:11">
      <c r="A53" s="2"/>
      <c r="B53" s="2"/>
      <c r="C53" s="2" t="s">
        <v>95</v>
      </c>
      <c r="D53" s="3" t="s">
        <v>234</v>
      </c>
      <c r="E53" t="s">
        <v>322</v>
      </c>
      <c r="F53">
        <v>0</v>
      </c>
      <c r="H53" s="1" t="s">
        <v>408</v>
      </c>
      <c r="I53">
        <f>F53*VALUE(LEFT(H53, FIND(":", H53)-1))</f>
        <v>0</v>
      </c>
      <c r="J53" t="s">
        <v>7</v>
      </c>
      <c r="K53" t="s">
        <v>13</v>
      </c>
    </row>
    <row r="54" spans="1:11">
      <c r="A54" s="2"/>
      <c r="B54" s="2"/>
      <c r="C54" s="2" t="s">
        <v>96</v>
      </c>
      <c r="D54" s="3" t="s">
        <v>235</v>
      </c>
      <c r="E54" t="s">
        <v>322</v>
      </c>
      <c r="F54">
        <v>0</v>
      </c>
      <c r="H54" s="1" t="s">
        <v>408</v>
      </c>
      <c r="I54">
        <f>F54*VALUE(LEFT(H54, FIND(":", H54)-1))</f>
        <v>0</v>
      </c>
      <c r="J54" t="s">
        <v>7</v>
      </c>
      <c r="K54" t="s">
        <v>13</v>
      </c>
    </row>
    <row r="55" spans="1:11">
      <c r="A55" s="2"/>
      <c r="B55" s="2"/>
      <c r="C55" s="2" t="s">
        <v>97</v>
      </c>
      <c r="D55" s="3" t="s">
        <v>236</v>
      </c>
      <c r="E55" t="s">
        <v>322</v>
      </c>
      <c r="F55">
        <v>0</v>
      </c>
      <c r="H55" s="1" t="s">
        <v>408</v>
      </c>
      <c r="I55">
        <f>F55*VALUE(LEFT(H55, FIND(":", H55)-1))</f>
        <v>0</v>
      </c>
      <c r="J55" t="s">
        <v>7</v>
      </c>
      <c r="K55" t="s">
        <v>13</v>
      </c>
    </row>
    <row r="56" spans="1:11">
      <c r="A56" s="2"/>
      <c r="B56" s="2" t="s">
        <v>30</v>
      </c>
      <c r="C56" s="2" t="s">
        <v>98</v>
      </c>
      <c r="D56" s="3" t="s">
        <v>237</v>
      </c>
      <c r="E56" t="s">
        <v>329</v>
      </c>
      <c r="F56">
        <v>0</v>
      </c>
      <c r="H56" s="1" t="s">
        <v>408</v>
      </c>
      <c r="I56">
        <f>F56*VALUE(LEFT(H56, FIND(":", H56)-1))</f>
        <v>0</v>
      </c>
      <c r="J56" t="s">
        <v>7</v>
      </c>
      <c r="K56" t="s">
        <v>30</v>
      </c>
    </row>
    <row r="57" spans="1:11">
      <c r="A57" s="2"/>
      <c r="B57" s="2"/>
      <c r="C57" s="2" t="s">
        <v>99</v>
      </c>
      <c r="D57" s="3" t="s">
        <v>238</v>
      </c>
      <c r="E57" t="s">
        <v>329</v>
      </c>
      <c r="F57">
        <v>0</v>
      </c>
      <c r="H57" s="1" t="s">
        <v>408</v>
      </c>
      <c r="I57">
        <f>F57*VALUE(LEFT(H57, FIND(":", H57)-1))</f>
        <v>0</v>
      </c>
      <c r="J57" t="s">
        <v>7</v>
      </c>
      <c r="K57" t="s">
        <v>30</v>
      </c>
    </row>
    <row r="58" spans="1:11">
      <c r="A58" s="2"/>
      <c r="B58" s="2"/>
      <c r="C58" s="2" t="s">
        <v>100</v>
      </c>
      <c r="D58" s="3" t="s">
        <v>239</v>
      </c>
      <c r="E58" t="s">
        <v>329</v>
      </c>
      <c r="F58">
        <v>0</v>
      </c>
      <c r="H58" s="1" t="s">
        <v>408</v>
      </c>
      <c r="I58">
        <f>F58*VALUE(LEFT(H58, FIND(":", H58)-1))</f>
        <v>0</v>
      </c>
      <c r="J58" t="s">
        <v>7</v>
      </c>
      <c r="K58" t="s">
        <v>30</v>
      </c>
    </row>
    <row r="59" spans="1:11">
      <c r="A59" s="2"/>
      <c r="B59" s="2"/>
      <c r="C59" s="2" t="s">
        <v>101</v>
      </c>
      <c r="D59" s="3" t="s">
        <v>240</v>
      </c>
      <c r="E59" t="s">
        <v>329</v>
      </c>
      <c r="F59">
        <v>0</v>
      </c>
      <c r="H59" s="1" t="s">
        <v>408</v>
      </c>
      <c r="I59">
        <f>F59*VALUE(LEFT(H59, FIND(":", H59)-1))</f>
        <v>0</v>
      </c>
      <c r="J59" t="s">
        <v>7</v>
      </c>
      <c r="K59" t="s">
        <v>30</v>
      </c>
    </row>
    <row r="60" spans="1:11">
      <c r="A60" s="2"/>
      <c r="B60" s="2"/>
      <c r="C60" s="2" t="s">
        <v>102</v>
      </c>
      <c r="D60" s="3" t="s">
        <v>241</v>
      </c>
      <c r="E60" t="s">
        <v>329</v>
      </c>
      <c r="F60">
        <v>0</v>
      </c>
      <c r="H60" s="1" t="s">
        <v>408</v>
      </c>
      <c r="I60">
        <f>F60*VALUE(LEFT(H60, FIND(":", H60)-1))</f>
        <v>0</v>
      </c>
      <c r="J60" t="s">
        <v>7</v>
      </c>
      <c r="K60" t="s">
        <v>30</v>
      </c>
    </row>
    <row r="61" spans="1:11">
      <c r="A61" s="2"/>
      <c r="B61" s="2"/>
      <c r="C61" s="2" t="s">
        <v>103</v>
      </c>
      <c r="D61" s="3" t="s">
        <v>242</v>
      </c>
      <c r="E61" t="s">
        <v>329</v>
      </c>
      <c r="F61">
        <v>0</v>
      </c>
      <c r="H61" s="1" t="s">
        <v>408</v>
      </c>
      <c r="I61">
        <f>F61*VALUE(LEFT(H61, FIND(":", H61)-1))</f>
        <v>0</v>
      </c>
      <c r="J61" t="s">
        <v>7</v>
      </c>
      <c r="K61" t="s">
        <v>30</v>
      </c>
    </row>
    <row r="62" spans="1:11">
      <c r="A62" s="2"/>
      <c r="B62" s="2" t="s">
        <v>26</v>
      </c>
      <c r="C62" s="2" t="s">
        <v>104</v>
      </c>
      <c r="D62" s="3" t="s">
        <v>243</v>
      </c>
      <c r="E62" t="s">
        <v>323</v>
      </c>
      <c r="F62">
        <v>1</v>
      </c>
      <c r="H62" s="1" t="s">
        <v>417</v>
      </c>
      <c r="I62">
        <f>F62*VALUE(LEFT(H62, FIND(":", H62)-1))</f>
        <v>0</v>
      </c>
      <c r="J62" t="s">
        <v>7</v>
      </c>
      <c r="K62" t="s">
        <v>26</v>
      </c>
    </row>
    <row r="63" spans="1:11">
      <c r="A63" s="2"/>
      <c r="B63" s="2"/>
      <c r="C63" s="2" t="s">
        <v>105</v>
      </c>
      <c r="D63" s="3" t="s">
        <v>244</v>
      </c>
      <c r="E63" t="s">
        <v>322</v>
      </c>
      <c r="F63">
        <v>0</v>
      </c>
      <c r="H63" s="1" t="s">
        <v>408</v>
      </c>
      <c r="I63">
        <f>F63*VALUE(LEFT(H63, FIND(":", H63)-1))</f>
        <v>0</v>
      </c>
      <c r="J63" t="s">
        <v>7</v>
      </c>
      <c r="K63" t="s">
        <v>26</v>
      </c>
    </row>
    <row r="64" spans="1:11">
      <c r="A64" s="2"/>
      <c r="B64" s="2"/>
      <c r="C64" s="2" t="s">
        <v>106</v>
      </c>
      <c r="D64" s="3" t="s">
        <v>245</v>
      </c>
      <c r="E64" t="s">
        <v>322</v>
      </c>
      <c r="F64">
        <v>0</v>
      </c>
      <c r="H64" s="1" t="s">
        <v>408</v>
      </c>
      <c r="I64">
        <f>F64*VALUE(LEFT(H64, FIND(":", H64)-1))</f>
        <v>0</v>
      </c>
      <c r="J64" t="s">
        <v>7</v>
      </c>
      <c r="K64" t="s">
        <v>26</v>
      </c>
    </row>
    <row r="65" spans="1:11">
      <c r="A65" s="2"/>
      <c r="B65" s="2"/>
      <c r="C65" s="2" t="s">
        <v>107</v>
      </c>
      <c r="D65" s="3" t="s">
        <v>246</v>
      </c>
      <c r="E65" t="s">
        <v>323</v>
      </c>
      <c r="F65">
        <v>1</v>
      </c>
      <c r="H65" s="1" t="s">
        <v>412</v>
      </c>
      <c r="I65">
        <f>F65*VALUE(LEFT(H65, FIND(":", H65)-1))</f>
        <v>0</v>
      </c>
      <c r="J65" t="s">
        <v>7</v>
      </c>
      <c r="K65" t="s">
        <v>26</v>
      </c>
    </row>
    <row r="66" spans="1:11">
      <c r="A66" s="2"/>
      <c r="B66" s="2"/>
      <c r="C66" s="2" t="s">
        <v>108</v>
      </c>
      <c r="D66" s="3" t="s">
        <v>247</v>
      </c>
      <c r="E66" t="s">
        <v>322</v>
      </c>
      <c r="F66">
        <v>0</v>
      </c>
      <c r="H66" s="1" t="s">
        <v>408</v>
      </c>
      <c r="I66">
        <f>F66*VALUE(LEFT(H66, FIND(":", H66)-1))</f>
        <v>0</v>
      </c>
      <c r="J66" t="s">
        <v>7</v>
      </c>
      <c r="K66" t="s">
        <v>26</v>
      </c>
    </row>
    <row r="67" spans="1:11">
      <c r="A67" s="2"/>
      <c r="B67" s="2"/>
      <c r="C67" s="2" t="s">
        <v>109</v>
      </c>
      <c r="D67" s="3" t="s">
        <v>248</v>
      </c>
      <c r="E67" t="s">
        <v>322</v>
      </c>
      <c r="F67">
        <v>0</v>
      </c>
      <c r="H67" s="1" t="s">
        <v>408</v>
      </c>
      <c r="I67">
        <f>F67*VALUE(LEFT(H67, FIND(":", H67)-1))</f>
        <v>0</v>
      </c>
      <c r="J67" t="s">
        <v>7</v>
      </c>
      <c r="K67" t="s">
        <v>26</v>
      </c>
    </row>
    <row r="68" spans="1:11">
      <c r="A68" s="2"/>
      <c r="B68" s="2" t="s">
        <v>28</v>
      </c>
      <c r="C68" s="2" t="s">
        <v>110</v>
      </c>
      <c r="D68" s="3" t="s">
        <v>249</v>
      </c>
      <c r="E68" t="s">
        <v>323</v>
      </c>
      <c r="F68">
        <v>1</v>
      </c>
      <c r="H68" s="1" t="s">
        <v>412</v>
      </c>
      <c r="I68">
        <f>F68*VALUE(LEFT(H68, FIND(":", H68)-1))</f>
        <v>0</v>
      </c>
      <c r="J68" t="s">
        <v>7</v>
      </c>
      <c r="K68" t="s">
        <v>28</v>
      </c>
    </row>
    <row r="69" spans="1:11">
      <c r="A69" s="2"/>
      <c r="B69" s="2"/>
      <c r="C69" s="2" t="s">
        <v>111</v>
      </c>
      <c r="D69" s="3" t="s">
        <v>250</v>
      </c>
      <c r="E69" t="s">
        <v>323</v>
      </c>
      <c r="F69">
        <v>1</v>
      </c>
      <c r="H69" s="1" t="s">
        <v>412</v>
      </c>
      <c r="I69">
        <f>F69*VALUE(LEFT(H69, FIND(":", H69)-1))</f>
        <v>0</v>
      </c>
      <c r="J69" t="s">
        <v>7</v>
      </c>
      <c r="K69" t="s">
        <v>28</v>
      </c>
    </row>
    <row r="70" spans="1:11">
      <c r="A70" s="2"/>
      <c r="B70" s="2"/>
      <c r="C70" s="2" t="s">
        <v>112</v>
      </c>
      <c r="D70" s="3" t="s">
        <v>251</v>
      </c>
      <c r="E70" t="s">
        <v>322</v>
      </c>
      <c r="F70">
        <v>0</v>
      </c>
      <c r="H70" s="1" t="s">
        <v>408</v>
      </c>
      <c r="I70">
        <f>F70*VALUE(LEFT(H70, FIND(":", H70)-1))</f>
        <v>0</v>
      </c>
      <c r="J70" t="s">
        <v>7</v>
      </c>
      <c r="K70" t="s">
        <v>28</v>
      </c>
    </row>
    <row r="71" spans="1:11">
      <c r="A71" s="2"/>
      <c r="B71" s="2"/>
      <c r="C71" s="2" t="s">
        <v>113</v>
      </c>
      <c r="D71" s="3" t="s">
        <v>252</v>
      </c>
      <c r="E71" t="s">
        <v>322</v>
      </c>
      <c r="F71">
        <v>0</v>
      </c>
      <c r="H71" s="1" t="s">
        <v>408</v>
      </c>
      <c r="I71">
        <f>F71*VALUE(LEFT(H71, FIND(":", H71)-1))</f>
        <v>0</v>
      </c>
      <c r="J71" t="s">
        <v>7</v>
      </c>
      <c r="K71" t="s">
        <v>28</v>
      </c>
    </row>
    <row r="72" spans="1:11">
      <c r="A72" s="2"/>
      <c r="B72" s="2"/>
      <c r="C72" s="2" t="s">
        <v>114</v>
      </c>
      <c r="D72" s="3" t="s">
        <v>253</v>
      </c>
      <c r="E72" t="s">
        <v>322</v>
      </c>
      <c r="F72">
        <v>0</v>
      </c>
      <c r="H72" s="1" t="s">
        <v>408</v>
      </c>
      <c r="I72">
        <f>F72*VALUE(LEFT(H72, FIND(":", H72)-1))</f>
        <v>0</v>
      </c>
      <c r="J72" t="s">
        <v>7</v>
      </c>
      <c r="K72" t="s">
        <v>28</v>
      </c>
    </row>
    <row r="73" spans="1:11">
      <c r="A73" s="2"/>
      <c r="B73" s="2"/>
      <c r="C73" s="2" t="s">
        <v>115</v>
      </c>
      <c r="D73" s="3" t="s">
        <v>254</v>
      </c>
      <c r="E73" t="s">
        <v>323</v>
      </c>
      <c r="F73">
        <v>1</v>
      </c>
      <c r="G73" s="1" t="s">
        <v>349</v>
      </c>
      <c r="H73" s="1" t="s">
        <v>411</v>
      </c>
      <c r="I73">
        <f>F73*VALUE(LEFT(H73, FIND(":", H73)-1))</f>
        <v>0</v>
      </c>
      <c r="J73" t="s">
        <v>7</v>
      </c>
      <c r="K73" t="s">
        <v>28</v>
      </c>
    </row>
    <row r="74" spans="1:11">
      <c r="A74" s="2"/>
      <c r="B74" s="2" t="s">
        <v>32</v>
      </c>
      <c r="C74" s="2" t="s">
        <v>116</v>
      </c>
      <c r="D74" s="3" t="s">
        <v>255</v>
      </c>
      <c r="E74" t="s">
        <v>322</v>
      </c>
      <c r="F74">
        <v>0</v>
      </c>
      <c r="H74" s="1" t="s">
        <v>408</v>
      </c>
      <c r="I74">
        <f>F74*VALUE(LEFT(H74, FIND(":", H74)-1))</f>
        <v>0</v>
      </c>
      <c r="J74" t="s">
        <v>7</v>
      </c>
      <c r="K74" t="s">
        <v>32</v>
      </c>
    </row>
    <row r="75" spans="1:11">
      <c r="A75" s="2"/>
      <c r="B75" s="2"/>
      <c r="C75" s="2" t="s">
        <v>117</v>
      </c>
      <c r="D75" s="3" t="s">
        <v>256</v>
      </c>
      <c r="E75" t="s">
        <v>323</v>
      </c>
      <c r="F75">
        <v>1</v>
      </c>
      <c r="H75" s="1" t="s">
        <v>418</v>
      </c>
      <c r="I75">
        <f>F75*VALUE(LEFT(H75, FIND(":", H75)-1))</f>
        <v>0</v>
      </c>
      <c r="J75" t="s">
        <v>7</v>
      </c>
      <c r="K75" t="s">
        <v>32</v>
      </c>
    </row>
    <row r="76" spans="1:11">
      <c r="A76" s="2"/>
      <c r="B76" s="2"/>
      <c r="C76" s="2" t="s">
        <v>118</v>
      </c>
      <c r="D76" s="3" t="s">
        <v>257</v>
      </c>
      <c r="E76" t="s">
        <v>323</v>
      </c>
      <c r="F76">
        <v>1</v>
      </c>
      <c r="H76" s="1" t="s">
        <v>417</v>
      </c>
      <c r="I76">
        <f>F76*VALUE(LEFT(H76, FIND(":", H76)-1))</f>
        <v>0</v>
      </c>
      <c r="J76" t="s">
        <v>7</v>
      </c>
      <c r="K76" t="s">
        <v>32</v>
      </c>
    </row>
    <row r="77" spans="1:11">
      <c r="A77" s="2"/>
      <c r="B77" s="2"/>
      <c r="C77" s="2" t="s">
        <v>119</v>
      </c>
      <c r="D77" s="3" t="s">
        <v>258</v>
      </c>
      <c r="E77" t="s">
        <v>322</v>
      </c>
      <c r="F77">
        <v>0</v>
      </c>
      <c r="H77" s="1" t="s">
        <v>408</v>
      </c>
      <c r="I77">
        <f>F77*VALUE(LEFT(H77, FIND(":", H77)-1))</f>
        <v>0</v>
      </c>
      <c r="J77" t="s">
        <v>7</v>
      </c>
      <c r="K77" t="s">
        <v>32</v>
      </c>
    </row>
    <row r="78" spans="1:11">
      <c r="A78" s="2"/>
      <c r="B78" s="2"/>
      <c r="C78" s="2" t="s">
        <v>120</v>
      </c>
      <c r="D78" s="3" t="s">
        <v>259</v>
      </c>
      <c r="E78" t="s">
        <v>322</v>
      </c>
      <c r="F78">
        <v>0</v>
      </c>
      <c r="H78" s="1" t="s">
        <v>408</v>
      </c>
      <c r="I78">
        <f>F78*VALUE(LEFT(H78, FIND(":", H78)-1))</f>
        <v>0</v>
      </c>
      <c r="J78" t="s">
        <v>7</v>
      </c>
      <c r="K78" t="s">
        <v>32</v>
      </c>
    </row>
    <row r="79" spans="1:11">
      <c r="A79" s="2"/>
      <c r="B79" s="2"/>
      <c r="C79" s="2" t="s">
        <v>121</v>
      </c>
      <c r="D79" s="3" t="s">
        <v>260</v>
      </c>
      <c r="E79" t="s">
        <v>322</v>
      </c>
      <c r="F79">
        <v>0</v>
      </c>
      <c r="H79" s="1" t="s">
        <v>408</v>
      </c>
      <c r="I79">
        <f>F79*VALUE(LEFT(H79, FIND(":", H79)-1))</f>
        <v>0</v>
      </c>
      <c r="J79" t="s">
        <v>7</v>
      </c>
      <c r="K79" t="s">
        <v>32</v>
      </c>
    </row>
    <row r="80" spans="1:11">
      <c r="A80" s="2" t="s">
        <v>8</v>
      </c>
      <c r="B80" s="2" t="s">
        <v>25</v>
      </c>
      <c r="C80" s="2" t="s">
        <v>122</v>
      </c>
      <c r="D80" s="3" t="s">
        <v>261</v>
      </c>
      <c r="E80" t="s">
        <v>322</v>
      </c>
      <c r="F80">
        <v>0</v>
      </c>
      <c r="H80" s="1" t="s">
        <v>408</v>
      </c>
      <c r="I80">
        <f>F80*VALUE(LEFT(H80, FIND(":", H80)-1))</f>
        <v>0</v>
      </c>
      <c r="J80" t="s">
        <v>8</v>
      </c>
      <c r="K80" t="s">
        <v>25</v>
      </c>
    </row>
    <row r="81" spans="1:11">
      <c r="A81" s="2"/>
      <c r="B81" s="2"/>
      <c r="C81" s="2" t="s">
        <v>123</v>
      </c>
      <c r="D81" s="3" t="s">
        <v>262</v>
      </c>
      <c r="E81" t="s">
        <v>322</v>
      </c>
      <c r="F81">
        <v>0</v>
      </c>
      <c r="H81" s="1" t="s">
        <v>408</v>
      </c>
      <c r="I81">
        <f>F81*VALUE(LEFT(H81, FIND(":", H81)-1))</f>
        <v>0</v>
      </c>
      <c r="J81" t="s">
        <v>8</v>
      </c>
      <c r="K81" t="s">
        <v>25</v>
      </c>
    </row>
    <row r="82" spans="1:11">
      <c r="A82" s="2"/>
      <c r="B82" s="2"/>
      <c r="C82" s="2" t="s">
        <v>124</v>
      </c>
      <c r="D82" s="3" t="s">
        <v>263</v>
      </c>
      <c r="E82" t="s">
        <v>322</v>
      </c>
      <c r="F82">
        <v>0</v>
      </c>
      <c r="H82" s="1" t="s">
        <v>408</v>
      </c>
      <c r="I82">
        <f>F82*VALUE(LEFT(H82, FIND(":", H82)-1))</f>
        <v>0</v>
      </c>
      <c r="J82" t="s">
        <v>8</v>
      </c>
      <c r="K82" t="s">
        <v>25</v>
      </c>
    </row>
    <row r="83" spans="1:11">
      <c r="A83" s="2"/>
      <c r="B83" s="2"/>
      <c r="C83" s="2" t="s">
        <v>125</v>
      </c>
      <c r="D83" s="3" t="s">
        <v>264</v>
      </c>
      <c r="E83" t="s">
        <v>322</v>
      </c>
      <c r="F83">
        <v>0</v>
      </c>
      <c r="H83" s="1" t="s">
        <v>408</v>
      </c>
      <c r="I83">
        <f>F83*VALUE(LEFT(H83, FIND(":", H83)-1))</f>
        <v>0</v>
      </c>
      <c r="J83" t="s">
        <v>8</v>
      </c>
      <c r="K83" t="s">
        <v>25</v>
      </c>
    </row>
    <row r="84" spans="1:11">
      <c r="A84" s="2"/>
      <c r="B84" s="2"/>
      <c r="C84" s="2" t="s">
        <v>126</v>
      </c>
      <c r="D84" s="3" t="s">
        <v>265</v>
      </c>
      <c r="E84" t="s">
        <v>323</v>
      </c>
      <c r="F84">
        <v>1</v>
      </c>
      <c r="H84" s="1" t="s">
        <v>419</v>
      </c>
      <c r="I84">
        <f>F84*VALUE(LEFT(H84, FIND(":", H84)-1))</f>
        <v>0</v>
      </c>
      <c r="J84" t="s">
        <v>8</v>
      </c>
      <c r="K84" t="s">
        <v>25</v>
      </c>
    </row>
    <row r="85" spans="1:11">
      <c r="A85" s="2"/>
      <c r="B85" s="2"/>
      <c r="C85" s="2" t="s">
        <v>127</v>
      </c>
      <c r="D85" s="3" t="s">
        <v>266</v>
      </c>
      <c r="E85" t="s">
        <v>322</v>
      </c>
      <c r="F85">
        <v>0</v>
      </c>
      <c r="H85" s="1" t="s">
        <v>408</v>
      </c>
      <c r="I85">
        <f>F85*VALUE(LEFT(H85, FIND(":", H85)-1))</f>
        <v>0</v>
      </c>
      <c r="J85" t="s">
        <v>8</v>
      </c>
      <c r="K85" t="s">
        <v>25</v>
      </c>
    </row>
    <row r="86" spans="1:11">
      <c r="A86" s="2"/>
      <c r="B86" s="2" t="s">
        <v>15</v>
      </c>
      <c r="C86" s="2" t="s">
        <v>128</v>
      </c>
      <c r="D86" s="3" t="s">
        <v>267</v>
      </c>
      <c r="E86" t="s">
        <v>323</v>
      </c>
      <c r="F86">
        <v>1</v>
      </c>
      <c r="H86" s="1" t="s">
        <v>415</v>
      </c>
      <c r="I86">
        <f>F86*VALUE(LEFT(H86, FIND(":", H86)-1))</f>
        <v>0</v>
      </c>
      <c r="J86" t="s">
        <v>8</v>
      </c>
      <c r="K86" t="s">
        <v>15</v>
      </c>
    </row>
    <row r="87" spans="1:11">
      <c r="A87" s="2"/>
      <c r="B87" s="2"/>
      <c r="C87" s="2" t="s">
        <v>129</v>
      </c>
      <c r="D87" s="3" t="s">
        <v>268</v>
      </c>
      <c r="E87" t="s">
        <v>323</v>
      </c>
      <c r="F87">
        <v>1</v>
      </c>
      <c r="H87" s="1" t="s">
        <v>415</v>
      </c>
      <c r="I87">
        <f>F87*VALUE(LEFT(H87, FIND(":", H87)-1))</f>
        <v>0</v>
      </c>
      <c r="J87" t="s">
        <v>8</v>
      </c>
      <c r="K87" t="s">
        <v>15</v>
      </c>
    </row>
    <row r="88" spans="1:11">
      <c r="A88" s="2"/>
      <c r="B88" s="2"/>
      <c r="C88" s="2" t="s">
        <v>130</v>
      </c>
      <c r="D88" s="3" t="s">
        <v>269</v>
      </c>
      <c r="E88" t="s">
        <v>322</v>
      </c>
      <c r="F88">
        <v>0</v>
      </c>
      <c r="H88" s="1" t="s">
        <v>408</v>
      </c>
      <c r="I88">
        <f>F88*VALUE(LEFT(H88, FIND(":", H88)-1))</f>
        <v>0</v>
      </c>
      <c r="J88" t="s">
        <v>8</v>
      </c>
      <c r="K88" t="s">
        <v>15</v>
      </c>
    </row>
    <row r="89" spans="1:11">
      <c r="A89" s="2"/>
      <c r="B89" s="2"/>
      <c r="C89" s="2" t="s">
        <v>131</v>
      </c>
      <c r="D89" s="3" t="s">
        <v>270</v>
      </c>
      <c r="E89" t="s">
        <v>322</v>
      </c>
      <c r="F89">
        <v>0</v>
      </c>
      <c r="H89" s="1" t="s">
        <v>408</v>
      </c>
      <c r="I89">
        <f>F89*VALUE(LEFT(H89, FIND(":", H89)-1))</f>
        <v>0</v>
      </c>
      <c r="J89" t="s">
        <v>8</v>
      </c>
      <c r="K89" t="s">
        <v>15</v>
      </c>
    </row>
    <row r="90" spans="1:11">
      <c r="A90" s="2"/>
      <c r="B90" s="2"/>
      <c r="C90" s="2" t="s">
        <v>132</v>
      </c>
      <c r="D90" s="3" t="s">
        <v>271</v>
      </c>
      <c r="E90" t="s">
        <v>322</v>
      </c>
      <c r="F90">
        <v>0</v>
      </c>
      <c r="H90" s="1" t="s">
        <v>408</v>
      </c>
      <c r="I90">
        <f>F90*VALUE(LEFT(H90, FIND(":", H90)-1))</f>
        <v>0</v>
      </c>
      <c r="J90" t="s">
        <v>8</v>
      </c>
      <c r="K90" t="s">
        <v>15</v>
      </c>
    </row>
    <row r="91" spans="1:11">
      <c r="A91" s="2"/>
      <c r="B91" s="2"/>
      <c r="C91" s="2" t="s">
        <v>133</v>
      </c>
      <c r="D91" s="3" t="s">
        <v>272</v>
      </c>
      <c r="E91" t="s">
        <v>322</v>
      </c>
      <c r="F91">
        <v>0</v>
      </c>
      <c r="H91" s="1" t="s">
        <v>408</v>
      </c>
      <c r="I91">
        <f>F91*VALUE(LEFT(H91, FIND(":", H91)-1))</f>
        <v>0</v>
      </c>
      <c r="J91" t="s">
        <v>8</v>
      </c>
      <c r="K91" t="s">
        <v>15</v>
      </c>
    </row>
    <row r="92" spans="1:11">
      <c r="A92" s="2"/>
      <c r="B92" s="2" t="s">
        <v>21</v>
      </c>
      <c r="C92" s="2" t="s">
        <v>134</v>
      </c>
      <c r="D92" s="3" t="s">
        <v>273</v>
      </c>
      <c r="E92" t="s">
        <v>322</v>
      </c>
      <c r="F92">
        <v>0</v>
      </c>
      <c r="H92" s="1" t="s">
        <v>408</v>
      </c>
      <c r="I92">
        <f>F92*VALUE(LEFT(H92, FIND(":", H92)-1))</f>
        <v>0</v>
      </c>
      <c r="J92" t="s">
        <v>8</v>
      </c>
      <c r="K92" t="s">
        <v>21</v>
      </c>
    </row>
    <row r="93" spans="1:11">
      <c r="A93" s="2"/>
      <c r="B93" s="2"/>
      <c r="C93" s="2" t="s">
        <v>135</v>
      </c>
      <c r="D93" s="3" t="s">
        <v>274</v>
      </c>
      <c r="E93" t="s">
        <v>323</v>
      </c>
      <c r="F93">
        <v>1</v>
      </c>
      <c r="G93" s="1" t="s">
        <v>350</v>
      </c>
      <c r="H93" s="1" t="s">
        <v>411</v>
      </c>
      <c r="I93">
        <f>F93*VALUE(LEFT(H93, FIND(":", H93)-1))</f>
        <v>0</v>
      </c>
      <c r="J93" t="s">
        <v>8</v>
      </c>
      <c r="K93" t="s">
        <v>21</v>
      </c>
    </row>
    <row r="94" spans="1:11">
      <c r="A94" s="2"/>
      <c r="B94" s="2"/>
      <c r="C94" s="2" t="s">
        <v>136</v>
      </c>
      <c r="D94" s="3" t="s">
        <v>275</v>
      </c>
      <c r="E94" t="s">
        <v>323</v>
      </c>
      <c r="F94">
        <v>1</v>
      </c>
      <c r="H94" s="1" t="s">
        <v>408</v>
      </c>
      <c r="I94">
        <f>F94*VALUE(LEFT(H94, FIND(":", H94)-1))</f>
        <v>0</v>
      </c>
      <c r="J94" t="s">
        <v>8</v>
      </c>
      <c r="K94" t="s">
        <v>21</v>
      </c>
    </row>
    <row r="95" spans="1:11">
      <c r="A95" s="2"/>
      <c r="B95" s="2"/>
      <c r="C95" s="2" t="s">
        <v>137</v>
      </c>
      <c r="D95" s="3" t="s">
        <v>276</v>
      </c>
      <c r="E95" t="s">
        <v>323</v>
      </c>
      <c r="F95">
        <v>1</v>
      </c>
      <c r="G95" s="1" t="s">
        <v>351</v>
      </c>
      <c r="H95" s="1" t="s">
        <v>417</v>
      </c>
      <c r="I95">
        <f>F95*VALUE(LEFT(H95, FIND(":", H95)-1))</f>
        <v>0</v>
      </c>
      <c r="J95" t="s">
        <v>8</v>
      </c>
      <c r="K95" t="s">
        <v>21</v>
      </c>
    </row>
    <row r="96" spans="1:11">
      <c r="A96" s="2"/>
      <c r="B96" s="2"/>
      <c r="C96" s="2" t="s">
        <v>138</v>
      </c>
      <c r="D96" s="3" t="s">
        <v>277</v>
      </c>
      <c r="E96" t="s">
        <v>323</v>
      </c>
      <c r="F96">
        <v>1</v>
      </c>
      <c r="H96" s="1" t="s">
        <v>420</v>
      </c>
      <c r="I96">
        <f>F96*VALUE(LEFT(H96, FIND(":", H96)-1))</f>
        <v>0</v>
      </c>
      <c r="J96" t="s">
        <v>8</v>
      </c>
      <c r="K96" t="s">
        <v>21</v>
      </c>
    </row>
    <row r="97" spans="1:11">
      <c r="A97" s="2"/>
      <c r="B97" s="2"/>
      <c r="C97" s="2" t="s">
        <v>139</v>
      </c>
      <c r="D97" s="3" t="s">
        <v>278</v>
      </c>
      <c r="E97" t="s">
        <v>323</v>
      </c>
      <c r="F97">
        <v>1</v>
      </c>
      <c r="G97" s="1" t="s">
        <v>352</v>
      </c>
      <c r="H97" s="1" t="s">
        <v>411</v>
      </c>
      <c r="I97">
        <f>F97*VALUE(LEFT(H97, FIND(":", H97)-1))</f>
        <v>0</v>
      </c>
      <c r="J97" t="s">
        <v>8</v>
      </c>
      <c r="K97" t="s">
        <v>21</v>
      </c>
    </row>
    <row r="98" spans="1:11">
      <c r="A98" s="2"/>
      <c r="B98" s="2" t="s">
        <v>27</v>
      </c>
      <c r="C98" s="2" t="s">
        <v>140</v>
      </c>
      <c r="D98" s="3" t="s">
        <v>279</v>
      </c>
      <c r="E98" t="s">
        <v>324</v>
      </c>
      <c r="F98">
        <v>1</v>
      </c>
      <c r="G98" s="1" t="s">
        <v>353</v>
      </c>
      <c r="H98" s="1" t="s">
        <v>411</v>
      </c>
      <c r="I98">
        <f>F98*VALUE(LEFT(H98, FIND(":", H98)-1))</f>
        <v>0</v>
      </c>
      <c r="J98" t="s">
        <v>8</v>
      </c>
      <c r="K98" t="s">
        <v>27</v>
      </c>
    </row>
    <row r="99" spans="1:11">
      <c r="A99" s="2"/>
      <c r="B99" s="2"/>
      <c r="C99" s="2" t="s">
        <v>141</v>
      </c>
      <c r="D99" s="3" t="s">
        <v>280</v>
      </c>
      <c r="E99" t="s">
        <v>324</v>
      </c>
      <c r="F99">
        <v>1</v>
      </c>
      <c r="G99" s="1" t="s">
        <v>354</v>
      </c>
      <c r="H99" s="1" t="s">
        <v>411</v>
      </c>
      <c r="I99">
        <f>F99*VALUE(LEFT(H99, FIND(":", H99)-1))</f>
        <v>0</v>
      </c>
      <c r="J99" t="s">
        <v>8</v>
      </c>
      <c r="K99" t="s">
        <v>27</v>
      </c>
    </row>
    <row r="100" spans="1:11">
      <c r="A100" s="2"/>
      <c r="B100" s="2"/>
      <c r="C100" s="2" t="s">
        <v>142</v>
      </c>
      <c r="D100" s="3" t="s">
        <v>281</v>
      </c>
      <c r="E100" t="s">
        <v>324</v>
      </c>
      <c r="F100">
        <v>1</v>
      </c>
      <c r="G100" s="1" t="s">
        <v>355</v>
      </c>
      <c r="H100" s="1" t="s">
        <v>411</v>
      </c>
      <c r="I100">
        <f>F100*VALUE(LEFT(H100, FIND(":", H100)-1))</f>
        <v>0</v>
      </c>
      <c r="J100" t="s">
        <v>8</v>
      </c>
      <c r="K100" t="s">
        <v>27</v>
      </c>
    </row>
    <row r="101" spans="1:11">
      <c r="A101" s="2"/>
      <c r="B101" s="2"/>
      <c r="C101" s="2" t="s">
        <v>143</v>
      </c>
      <c r="D101" s="3" t="s">
        <v>282</v>
      </c>
      <c r="E101" t="s">
        <v>324</v>
      </c>
      <c r="F101">
        <v>1</v>
      </c>
      <c r="G101" s="1" t="s">
        <v>356</v>
      </c>
      <c r="H101" s="1" t="s">
        <v>411</v>
      </c>
      <c r="I101">
        <f>F101*VALUE(LEFT(H101, FIND(":", H101)-1))</f>
        <v>0</v>
      </c>
      <c r="J101" t="s">
        <v>8</v>
      </c>
      <c r="K101" t="s">
        <v>27</v>
      </c>
    </row>
    <row r="102" spans="1:11">
      <c r="A102" s="2"/>
      <c r="B102" s="2"/>
      <c r="C102" s="2" t="s">
        <v>144</v>
      </c>
      <c r="D102" s="3" t="s">
        <v>283</v>
      </c>
      <c r="E102" t="s">
        <v>323</v>
      </c>
      <c r="F102">
        <v>1</v>
      </c>
      <c r="G102" s="1" t="s">
        <v>357</v>
      </c>
      <c r="H102" s="1" t="s">
        <v>411</v>
      </c>
      <c r="I102">
        <f>F102*VALUE(LEFT(H102, FIND(":", H102)-1))</f>
        <v>0</v>
      </c>
      <c r="J102" t="s">
        <v>8</v>
      </c>
      <c r="K102" t="s">
        <v>27</v>
      </c>
    </row>
    <row r="103" spans="1:11">
      <c r="A103" s="2"/>
      <c r="B103" s="2"/>
      <c r="C103" s="2" t="s">
        <v>145</v>
      </c>
      <c r="D103" s="3" t="s">
        <v>284</v>
      </c>
      <c r="E103" t="s">
        <v>323</v>
      </c>
      <c r="F103">
        <v>1</v>
      </c>
      <c r="H103" s="1" t="s">
        <v>417</v>
      </c>
      <c r="I103">
        <f>F103*VALUE(LEFT(H103, FIND(":", H103)-1))</f>
        <v>0</v>
      </c>
      <c r="J103" t="s">
        <v>8</v>
      </c>
      <c r="K103" t="s">
        <v>27</v>
      </c>
    </row>
    <row r="104" spans="1:11">
      <c r="A104" s="2"/>
      <c r="B104" s="2"/>
      <c r="C104" s="2" t="s">
        <v>146</v>
      </c>
      <c r="D104" s="3" t="s">
        <v>285</v>
      </c>
      <c r="E104" t="s">
        <v>324</v>
      </c>
      <c r="F104">
        <v>1</v>
      </c>
      <c r="G104" s="1" t="s">
        <v>358</v>
      </c>
      <c r="H104" s="1" t="s">
        <v>411</v>
      </c>
      <c r="I104">
        <f>F104*VALUE(LEFT(H104, FIND(":", H104)-1))</f>
        <v>0</v>
      </c>
      <c r="J104" t="s">
        <v>8</v>
      </c>
      <c r="K104" t="s">
        <v>27</v>
      </c>
    </row>
    <row r="105" spans="1:11">
      <c r="A105" s="2"/>
      <c r="B105" s="2" t="s">
        <v>31</v>
      </c>
      <c r="C105" s="2" t="s">
        <v>147</v>
      </c>
      <c r="D105" s="3" t="s">
        <v>286</v>
      </c>
      <c r="E105" t="s">
        <v>323</v>
      </c>
      <c r="F105">
        <v>1</v>
      </c>
      <c r="G105" s="1" t="s">
        <v>359</v>
      </c>
      <c r="H105" s="1" t="s">
        <v>411</v>
      </c>
      <c r="I105">
        <f>F105*VALUE(LEFT(H105, FIND(":", H105)-1))</f>
        <v>0</v>
      </c>
      <c r="J105" t="s">
        <v>8</v>
      </c>
      <c r="K105" t="s">
        <v>31</v>
      </c>
    </row>
    <row r="106" spans="1:11">
      <c r="A106" s="2"/>
      <c r="B106" s="2"/>
      <c r="C106" s="2" t="s">
        <v>148</v>
      </c>
      <c r="D106" s="3" t="s">
        <v>287</v>
      </c>
      <c r="E106" t="s">
        <v>324</v>
      </c>
      <c r="F106">
        <v>1</v>
      </c>
      <c r="G106" s="1" t="s">
        <v>360</v>
      </c>
      <c r="H106" s="1" t="s">
        <v>411</v>
      </c>
      <c r="I106">
        <f>F106*VALUE(LEFT(H106, FIND(":", H106)-1))</f>
        <v>0</v>
      </c>
      <c r="J106" t="s">
        <v>8</v>
      </c>
      <c r="K106" t="s">
        <v>31</v>
      </c>
    </row>
    <row r="107" spans="1:11">
      <c r="A107" s="2"/>
      <c r="B107" s="2"/>
      <c r="C107" s="2" t="s">
        <v>149</v>
      </c>
      <c r="D107" s="3" t="s">
        <v>288</v>
      </c>
      <c r="E107" t="s">
        <v>324</v>
      </c>
      <c r="F107">
        <v>1</v>
      </c>
      <c r="G107" s="1" t="s">
        <v>361</v>
      </c>
      <c r="H107" s="1" t="s">
        <v>411</v>
      </c>
      <c r="I107">
        <f>F107*VALUE(LEFT(H107, FIND(":", H107)-1))</f>
        <v>0</v>
      </c>
      <c r="J107" t="s">
        <v>8</v>
      </c>
      <c r="K107" t="s">
        <v>31</v>
      </c>
    </row>
    <row r="108" spans="1:11">
      <c r="A108" s="2"/>
      <c r="B108" s="2"/>
      <c r="C108" s="2" t="s">
        <v>150</v>
      </c>
      <c r="D108" s="3" t="s">
        <v>289</v>
      </c>
      <c r="E108" t="s">
        <v>324</v>
      </c>
      <c r="F108">
        <v>1</v>
      </c>
      <c r="G108" s="1" t="s">
        <v>362</v>
      </c>
      <c r="H108" s="1" t="s">
        <v>411</v>
      </c>
      <c r="I108">
        <f>F108*VALUE(LEFT(H108, FIND(":", H108)-1))</f>
        <v>0</v>
      </c>
      <c r="J108" t="s">
        <v>8</v>
      </c>
      <c r="K108" t="s">
        <v>31</v>
      </c>
    </row>
    <row r="109" spans="1:11">
      <c r="A109" s="2"/>
      <c r="B109" s="2"/>
      <c r="C109" s="2" t="s">
        <v>151</v>
      </c>
      <c r="D109" s="3" t="s">
        <v>290</v>
      </c>
      <c r="E109" t="s">
        <v>324</v>
      </c>
      <c r="F109">
        <v>1</v>
      </c>
      <c r="G109" s="1" t="s">
        <v>363</v>
      </c>
      <c r="H109" s="1" t="s">
        <v>411</v>
      </c>
      <c r="I109">
        <f>F109*VALUE(LEFT(H109, FIND(":", H109)-1))</f>
        <v>0</v>
      </c>
      <c r="J109" t="s">
        <v>8</v>
      </c>
      <c r="K109" t="s">
        <v>31</v>
      </c>
    </row>
    <row r="110" spans="1:11">
      <c r="A110" s="2"/>
      <c r="B110" s="2"/>
      <c r="C110" s="2" t="s">
        <v>152</v>
      </c>
      <c r="D110" s="3" t="s">
        <v>291</v>
      </c>
      <c r="E110" t="s">
        <v>323</v>
      </c>
      <c r="F110">
        <v>1</v>
      </c>
      <c r="H110" s="1" t="s">
        <v>408</v>
      </c>
      <c r="I110">
        <f>F110*VALUE(LEFT(H110, FIND(":", H110)-1))</f>
        <v>0</v>
      </c>
      <c r="J110" t="s">
        <v>8</v>
      </c>
      <c r="K110" t="s">
        <v>31</v>
      </c>
    </row>
    <row r="111" spans="1:11">
      <c r="A111" s="2" t="s">
        <v>9</v>
      </c>
      <c r="B111" s="2" t="s">
        <v>11</v>
      </c>
      <c r="C111" s="2" t="s">
        <v>153</v>
      </c>
      <c r="D111" s="3" t="s">
        <v>292</v>
      </c>
      <c r="E111" t="s">
        <v>323</v>
      </c>
      <c r="F111">
        <v>1</v>
      </c>
      <c r="G111" s="1" t="s">
        <v>364</v>
      </c>
      <c r="H111" s="1" t="s">
        <v>411</v>
      </c>
      <c r="I111">
        <f>F111*VALUE(LEFT(H111, FIND(":", H111)-1))</f>
        <v>0</v>
      </c>
      <c r="J111" t="s">
        <v>9</v>
      </c>
      <c r="K111" t="s">
        <v>11</v>
      </c>
    </row>
    <row r="112" spans="1:11">
      <c r="A112" s="2"/>
      <c r="B112" s="2"/>
      <c r="C112" s="2" t="s">
        <v>154</v>
      </c>
      <c r="D112" s="3" t="s">
        <v>293</v>
      </c>
      <c r="E112" t="s">
        <v>323</v>
      </c>
      <c r="F112">
        <v>1</v>
      </c>
      <c r="G112" s="1" t="s">
        <v>365</v>
      </c>
      <c r="H112" s="1" t="s">
        <v>417</v>
      </c>
      <c r="I112">
        <f>F112*VALUE(LEFT(H112, FIND(":", H112)-1))</f>
        <v>0</v>
      </c>
      <c r="J112" t="s">
        <v>9</v>
      </c>
      <c r="K112" t="s">
        <v>11</v>
      </c>
    </row>
    <row r="113" spans="1:11">
      <c r="A113" s="2"/>
      <c r="B113" s="2"/>
      <c r="C113" s="2" t="s">
        <v>155</v>
      </c>
      <c r="D113" s="3" t="s">
        <v>294</v>
      </c>
      <c r="E113" t="s">
        <v>323</v>
      </c>
      <c r="F113">
        <v>1</v>
      </c>
      <c r="G113" s="1" t="s">
        <v>366</v>
      </c>
      <c r="H113" s="1" t="s">
        <v>411</v>
      </c>
      <c r="I113">
        <f>F113*VALUE(LEFT(H113, FIND(":", H113)-1))</f>
        <v>0</v>
      </c>
      <c r="J113" t="s">
        <v>9</v>
      </c>
      <c r="K113" t="s">
        <v>11</v>
      </c>
    </row>
    <row r="114" spans="1:11">
      <c r="A114" s="2"/>
      <c r="B114" s="2"/>
      <c r="C114" s="2" t="s">
        <v>156</v>
      </c>
      <c r="D114" s="3" t="s">
        <v>295</v>
      </c>
      <c r="E114" t="s">
        <v>323</v>
      </c>
      <c r="F114">
        <v>1</v>
      </c>
      <c r="G114" s="1" t="s">
        <v>367</v>
      </c>
      <c r="H114" s="1" t="s">
        <v>417</v>
      </c>
      <c r="I114">
        <f>F114*VALUE(LEFT(H114, FIND(":", H114)-1))</f>
        <v>0</v>
      </c>
      <c r="J114" t="s">
        <v>9</v>
      </c>
      <c r="K114" t="s">
        <v>11</v>
      </c>
    </row>
    <row r="115" spans="1:11">
      <c r="A115" s="2"/>
      <c r="B115" s="2"/>
      <c r="C115" s="2" t="s">
        <v>157</v>
      </c>
      <c r="D115" s="3" t="s">
        <v>296</v>
      </c>
      <c r="E115" t="s">
        <v>323</v>
      </c>
      <c r="F115">
        <v>1</v>
      </c>
      <c r="G115" s="1" t="s">
        <v>368</v>
      </c>
      <c r="H115" s="1" t="s">
        <v>417</v>
      </c>
      <c r="I115">
        <f>F115*VALUE(LEFT(H115, FIND(":", H115)-1))</f>
        <v>0</v>
      </c>
      <c r="J115" t="s">
        <v>9</v>
      </c>
      <c r="K115" t="s">
        <v>11</v>
      </c>
    </row>
    <row r="116" spans="1:11">
      <c r="A116" s="2"/>
      <c r="B116" s="2"/>
      <c r="C116" s="2" t="s">
        <v>158</v>
      </c>
      <c r="D116" s="3" t="s">
        <v>297</v>
      </c>
      <c r="E116" t="s">
        <v>323</v>
      </c>
      <c r="F116">
        <v>1</v>
      </c>
      <c r="G116" s="1" t="s">
        <v>369</v>
      </c>
      <c r="H116" s="1" t="s">
        <v>411</v>
      </c>
      <c r="I116">
        <f>F116*VALUE(LEFT(H116, FIND(":", H116)-1))</f>
        <v>0</v>
      </c>
      <c r="J116" t="s">
        <v>9</v>
      </c>
      <c r="K116" t="s">
        <v>11</v>
      </c>
    </row>
    <row r="117" spans="1:11">
      <c r="A117" s="2"/>
      <c r="B117" s="2"/>
      <c r="C117" s="2" t="s">
        <v>159</v>
      </c>
      <c r="D117" s="3" t="s">
        <v>298</v>
      </c>
      <c r="E117" t="s">
        <v>322</v>
      </c>
      <c r="F117">
        <v>0</v>
      </c>
      <c r="H117" s="1" t="s">
        <v>408</v>
      </c>
      <c r="I117">
        <f>F117*VALUE(LEFT(H117, FIND(":", H117)-1))</f>
        <v>0</v>
      </c>
      <c r="J117" t="s">
        <v>9</v>
      </c>
      <c r="K117" t="s">
        <v>11</v>
      </c>
    </row>
    <row r="118" spans="1:11">
      <c r="A118" s="2"/>
      <c r="B118" s="2" t="s">
        <v>12</v>
      </c>
      <c r="C118" s="2" t="s">
        <v>160</v>
      </c>
      <c r="D118" s="3" t="s">
        <v>299</v>
      </c>
      <c r="E118" t="s">
        <v>323</v>
      </c>
      <c r="F118">
        <v>1</v>
      </c>
      <c r="G118" s="1" t="s">
        <v>370</v>
      </c>
      <c r="H118" s="1" t="s">
        <v>411</v>
      </c>
      <c r="I118">
        <f>F118*VALUE(LEFT(H118, FIND(":", H118)-1))</f>
        <v>0</v>
      </c>
      <c r="J118" t="s">
        <v>9</v>
      </c>
      <c r="K118" t="s">
        <v>12</v>
      </c>
    </row>
    <row r="119" spans="1:11">
      <c r="A119" s="2"/>
      <c r="B119" s="2"/>
      <c r="C119" s="2" t="s">
        <v>161</v>
      </c>
      <c r="D119" s="3" t="s">
        <v>300</v>
      </c>
      <c r="E119" t="s">
        <v>323</v>
      </c>
      <c r="F119">
        <v>1</v>
      </c>
      <c r="G119" s="1" t="s">
        <v>371</v>
      </c>
      <c r="H119" s="1" t="s">
        <v>411</v>
      </c>
      <c r="I119">
        <f>F119*VALUE(LEFT(H119, FIND(":", H119)-1))</f>
        <v>0</v>
      </c>
      <c r="J119" t="s">
        <v>9</v>
      </c>
      <c r="K119" t="s">
        <v>12</v>
      </c>
    </row>
    <row r="120" spans="1:11">
      <c r="A120" s="2"/>
      <c r="B120" s="2"/>
      <c r="C120" s="2" t="s">
        <v>162</v>
      </c>
      <c r="D120" s="3" t="s">
        <v>301</v>
      </c>
      <c r="E120" t="s">
        <v>323</v>
      </c>
      <c r="F120">
        <v>1</v>
      </c>
      <c r="H120" s="1" t="s">
        <v>421</v>
      </c>
      <c r="I120">
        <f>F120*VALUE(LEFT(H120, FIND(":", H120)-1))</f>
        <v>0</v>
      </c>
      <c r="J120" t="s">
        <v>9</v>
      </c>
      <c r="K120" t="s">
        <v>12</v>
      </c>
    </row>
    <row r="121" spans="1:11">
      <c r="A121" s="2"/>
      <c r="B121" s="2"/>
      <c r="C121" s="2" t="s">
        <v>163</v>
      </c>
      <c r="D121" s="3" t="s">
        <v>302</v>
      </c>
      <c r="E121" t="s">
        <v>322</v>
      </c>
      <c r="F121">
        <v>0</v>
      </c>
      <c r="H121" s="1" t="s">
        <v>408</v>
      </c>
      <c r="I121">
        <f>F121*VALUE(LEFT(H121, FIND(":", H121)-1))</f>
        <v>0</v>
      </c>
      <c r="J121" t="s">
        <v>9</v>
      </c>
      <c r="K121" t="s">
        <v>12</v>
      </c>
    </row>
    <row r="122" spans="1:11">
      <c r="A122" s="2"/>
      <c r="B122" s="2"/>
      <c r="C122" s="2" t="s">
        <v>164</v>
      </c>
      <c r="D122" s="3" t="s">
        <v>303</v>
      </c>
      <c r="E122" t="s">
        <v>322</v>
      </c>
      <c r="F122">
        <v>0</v>
      </c>
      <c r="H122" s="1" t="s">
        <v>408</v>
      </c>
      <c r="I122">
        <f>F122*VALUE(LEFT(H122, FIND(":", H122)-1))</f>
        <v>0</v>
      </c>
      <c r="J122" t="s">
        <v>9</v>
      </c>
      <c r="K122" t="s">
        <v>12</v>
      </c>
    </row>
    <row r="123" spans="1:11">
      <c r="A123" s="2"/>
      <c r="B123" s="2"/>
      <c r="C123" s="2" t="s">
        <v>165</v>
      </c>
      <c r="D123" s="3" t="s">
        <v>304</v>
      </c>
      <c r="E123" t="s">
        <v>323</v>
      </c>
      <c r="F123">
        <v>1</v>
      </c>
      <c r="G123" s="1" t="s">
        <v>372</v>
      </c>
      <c r="H123" s="1" t="s">
        <v>411</v>
      </c>
      <c r="I123">
        <f>F123*VALUE(LEFT(H123, FIND(":", H123)-1))</f>
        <v>0</v>
      </c>
      <c r="J123" t="s">
        <v>9</v>
      </c>
      <c r="K123" t="s">
        <v>12</v>
      </c>
    </row>
    <row r="124" spans="1:11">
      <c r="A124" s="2"/>
      <c r="B124" s="2"/>
      <c r="C124" s="2" t="s">
        <v>166</v>
      </c>
      <c r="D124" s="3" t="s">
        <v>305</v>
      </c>
      <c r="E124" t="s">
        <v>322</v>
      </c>
      <c r="F124">
        <v>0</v>
      </c>
      <c r="H124" s="1" t="s">
        <v>408</v>
      </c>
      <c r="I124">
        <f>F124*VALUE(LEFT(H124, FIND(":", H124)-1))</f>
        <v>0</v>
      </c>
      <c r="J124" t="s">
        <v>9</v>
      </c>
      <c r="K124" t="s">
        <v>12</v>
      </c>
    </row>
    <row r="125" spans="1:11">
      <c r="A125" s="2"/>
      <c r="B125" s="2" t="s">
        <v>16</v>
      </c>
      <c r="C125" s="2" t="s">
        <v>167</v>
      </c>
      <c r="D125" s="3" t="s">
        <v>306</v>
      </c>
      <c r="E125" t="s">
        <v>325</v>
      </c>
      <c r="F125">
        <v>0</v>
      </c>
      <c r="H125" s="1" t="s">
        <v>408</v>
      </c>
      <c r="I125">
        <f>F125*VALUE(LEFT(H125, FIND(":", H125)-1))</f>
        <v>0</v>
      </c>
      <c r="J125" t="s">
        <v>9</v>
      </c>
      <c r="K125" t="s">
        <v>16</v>
      </c>
    </row>
    <row r="126" spans="1:11">
      <c r="A126" s="2"/>
      <c r="B126" s="2"/>
      <c r="C126" s="2" t="s">
        <v>168</v>
      </c>
      <c r="D126" s="3" t="s">
        <v>307</v>
      </c>
      <c r="E126" t="s">
        <v>322</v>
      </c>
      <c r="F126">
        <v>0</v>
      </c>
      <c r="H126" s="1" t="s">
        <v>408</v>
      </c>
      <c r="I126">
        <f>F126*VALUE(LEFT(H126, FIND(":", H126)-1))</f>
        <v>0</v>
      </c>
      <c r="J126" t="s">
        <v>9</v>
      </c>
      <c r="K126" t="s">
        <v>16</v>
      </c>
    </row>
    <row r="127" spans="1:11">
      <c r="A127" s="2"/>
      <c r="B127" s="2"/>
      <c r="C127" s="2" t="s">
        <v>169</v>
      </c>
      <c r="D127" s="3" t="s">
        <v>308</v>
      </c>
      <c r="E127" t="s">
        <v>322</v>
      </c>
      <c r="F127">
        <v>0</v>
      </c>
      <c r="H127" s="1" t="s">
        <v>408</v>
      </c>
      <c r="I127">
        <f>F127*VALUE(LEFT(H127, FIND(":", H127)-1))</f>
        <v>0</v>
      </c>
      <c r="J127" t="s">
        <v>9</v>
      </c>
      <c r="K127" t="s">
        <v>16</v>
      </c>
    </row>
    <row r="128" spans="1:11">
      <c r="A128" s="2"/>
      <c r="B128" s="2"/>
      <c r="C128" s="2" t="s">
        <v>170</v>
      </c>
      <c r="D128" s="3" t="s">
        <v>309</v>
      </c>
      <c r="E128" t="s">
        <v>323</v>
      </c>
      <c r="F128">
        <v>1</v>
      </c>
      <c r="H128" s="1" t="s">
        <v>422</v>
      </c>
      <c r="I128">
        <f>F128*VALUE(LEFT(H128, FIND(":", H128)-1))</f>
        <v>0</v>
      </c>
      <c r="J128" t="s">
        <v>9</v>
      </c>
      <c r="K128" t="s">
        <v>16</v>
      </c>
    </row>
    <row r="129" spans="1:11">
      <c r="A129" s="2"/>
      <c r="B129" s="2"/>
      <c r="C129" s="2" t="s">
        <v>171</v>
      </c>
      <c r="D129" s="3" t="s">
        <v>310</v>
      </c>
      <c r="E129" t="s">
        <v>322</v>
      </c>
      <c r="F129">
        <v>0</v>
      </c>
      <c r="H129" s="1" t="s">
        <v>408</v>
      </c>
      <c r="I129">
        <f>F129*VALUE(LEFT(H129, FIND(":", H129)-1))</f>
        <v>0</v>
      </c>
      <c r="J129" t="s">
        <v>9</v>
      </c>
      <c r="K129" t="s">
        <v>16</v>
      </c>
    </row>
    <row r="130" spans="1:11">
      <c r="A130" s="2"/>
      <c r="B130" s="2"/>
      <c r="C130" s="2" t="s">
        <v>172</v>
      </c>
      <c r="D130" s="3" t="s">
        <v>311</v>
      </c>
      <c r="E130" t="s">
        <v>323</v>
      </c>
      <c r="F130">
        <v>1</v>
      </c>
      <c r="G130" s="1" t="s">
        <v>373</v>
      </c>
      <c r="H130" s="1" t="s">
        <v>411</v>
      </c>
      <c r="I130">
        <f>F130*VALUE(LEFT(H130, FIND(":", H130)-1))</f>
        <v>0</v>
      </c>
      <c r="J130" t="s">
        <v>9</v>
      </c>
      <c r="K130" t="s">
        <v>16</v>
      </c>
    </row>
    <row r="131" spans="1:11">
      <c r="A131" s="2"/>
      <c r="B131" s="2"/>
      <c r="C131" s="2" t="s">
        <v>173</v>
      </c>
      <c r="D131" s="3" t="s">
        <v>312</v>
      </c>
      <c r="E131" t="s">
        <v>323</v>
      </c>
      <c r="F131">
        <v>1</v>
      </c>
      <c r="G131" s="1" t="s">
        <v>374</v>
      </c>
      <c r="H131" s="1" t="s">
        <v>411</v>
      </c>
      <c r="I131">
        <f>F131*VALUE(LEFT(H131, FIND(":", H131)-1))</f>
        <v>0</v>
      </c>
      <c r="J131" t="s">
        <v>9</v>
      </c>
      <c r="K131" t="s">
        <v>16</v>
      </c>
    </row>
    <row r="132" spans="1:11">
      <c r="A132" s="2"/>
      <c r="B132" s="2"/>
      <c r="C132" s="2" t="s">
        <v>174</v>
      </c>
      <c r="D132" s="3" t="s">
        <v>313</v>
      </c>
      <c r="E132" t="s">
        <v>322</v>
      </c>
      <c r="F132">
        <v>0</v>
      </c>
      <c r="H132" s="1" t="s">
        <v>408</v>
      </c>
      <c r="I132">
        <f>F132*VALUE(LEFT(H132, FIND(":", H132)-1))</f>
        <v>0</v>
      </c>
      <c r="J132" t="s">
        <v>9</v>
      </c>
      <c r="K132" t="s">
        <v>16</v>
      </c>
    </row>
    <row r="133" spans="1:11">
      <c r="A133" s="2"/>
      <c r="B133" s="2"/>
      <c r="C133" s="2" t="s">
        <v>175</v>
      </c>
      <c r="D133" s="3" t="s">
        <v>314</v>
      </c>
      <c r="E133" t="s">
        <v>330</v>
      </c>
      <c r="F133">
        <v>1</v>
      </c>
      <c r="H133" s="1" t="s">
        <v>422</v>
      </c>
      <c r="I133">
        <f>F133*VALUE(LEFT(H133, FIND(":", H133)-1))</f>
        <v>0</v>
      </c>
      <c r="J133" t="s">
        <v>9</v>
      </c>
      <c r="K133" t="s">
        <v>16</v>
      </c>
    </row>
    <row r="134" spans="1:11">
      <c r="A134" s="2"/>
      <c r="B134" s="2" t="s">
        <v>29</v>
      </c>
      <c r="C134" s="2" t="s">
        <v>176</v>
      </c>
      <c r="D134" s="3" t="s">
        <v>315</v>
      </c>
      <c r="E134" t="s">
        <v>322</v>
      </c>
      <c r="F134">
        <v>0</v>
      </c>
      <c r="H134" s="1" t="s">
        <v>408</v>
      </c>
      <c r="I134">
        <f>F134*VALUE(LEFT(H134, FIND(":", H134)-1))</f>
        <v>0</v>
      </c>
      <c r="J134" t="s">
        <v>9</v>
      </c>
      <c r="K134" t="s">
        <v>29</v>
      </c>
    </row>
    <row r="135" spans="1:11">
      <c r="A135" s="2"/>
      <c r="B135" s="2"/>
      <c r="C135" s="2" t="s">
        <v>177</v>
      </c>
      <c r="D135" s="3" t="s">
        <v>316</v>
      </c>
      <c r="E135" t="s">
        <v>323</v>
      </c>
      <c r="F135">
        <v>1</v>
      </c>
      <c r="G135" s="1" t="s">
        <v>375</v>
      </c>
      <c r="H135" s="1" t="s">
        <v>411</v>
      </c>
      <c r="I135">
        <f>F135*VALUE(LEFT(H135, FIND(":", H135)-1))</f>
        <v>0</v>
      </c>
      <c r="J135" t="s">
        <v>9</v>
      </c>
      <c r="K135" t="s">
        <v>29</v>
      </c>
    </row>
    <row r="136" spans="1:11">
      <c r="A136" s="2"/>
      <c r="B136" s="2"/>
      <c r="C136" s="2" t="s">
        <v>178</v>
      </c>
      <c r="D136" s="3" t="s">
        <v>317</v>
      </c>
      <c r="E136" t="s">
        <v>323</v>
      </c>
      <c r="F136">
        <v>1</v>
      </c>
      <c r="G136" s="1" t="s">
        <v>376</v>
      </c>
      <c r="H136" s="1" t="s">
        <v>411</v>
      </c>
      <c r="I136">
        <f>F136*VALUE(LEFT(H136, FIND(":", H136)-1))</f>
        <v>0</v>
      </c>
      <c r="J136" t="s">
        <v>9</v>
      </c>
      <c r="K136" t="s">
        <v>29</v>
      </c>
    </row>
    <row r="137" spans="1:11">
      <c r="A137" s="2"/>
      <c r="B137" s="2"/>
      <c r="C137" s="2" t="s">
        <v>179</v>
      </c>
      <c r="D137" s="3" t="s">
        <v>318</v>
      </c>
      <c r="E137" t="s">
        <v>322</v>
      </c>
      <c r="F137">
        <v>0</v>
      </c>
      <c r="H137" s="1" t="s">
        <v>408</v>
      </c>
      <c r="I137">
        <f>F137*VALUE(LEFT(H137, FIND(":", H137)-1))</f>
        <v>0</v>
      </c>
      <c r="J137" t="s">
        <v>9</v>
      </c>
      <c r="K137" t="s">
        <v>29</v>
      </c>
    </row>
    <row r="138" spans="1:11">
      <c r="A138" s="2"/>
      <c r="B138" s="2"/>
      <c r="C138" s="2" t="s">
        <v>180</v>
      </c>
      <c r="D138" s="3" t="s">
        <v>319</v>
      </c>
      <c r="E138" t="s">
        <v>323</v>
      </c>
      <c r="F138">
        <v>1</v>
      </c>
      <c r="H138" s="1" t="s">
        <v>423</v>
      </c>
      <c r="I138">
        <f>F138*VALUE(LEFT(H138, FIND(":", H138)-1))</f>
        <v>0</v>
      </c>
      <c r="J138" t="s">
        <v>9</v>
      </c>
      <c r="K138" t="s">
        <v>29</v>
      </c>
    </row>
    <row r="139" spans="1:11">
      <c r="A139" s="2"/>
      <c r="B139" s="2"/>
      <c r="C139" s="2" t="s">
        <v>181</v>
      </c>
      <c r="D139" s="3" t="s">
        <v>320</v>
      </c>
      <c r="E139" t="s">
        <v>322</v>
      </c>
      <c r="F139">
        <v>0</v>
      </c>
      <c r="H139" s="1" t="s">
        <v>408</v>
      </c>
      <c r="I139">
        <f>F139*VALUE(LEFT(H139, FIND(":", H139)-1))</f>
        <v>0</v>
      </c>
      <c r="J139" t="s">
        <v>9</v>
      </c>
      <c r="K139" t="s">
        <v>29</v>
      </c>
    </row>
    <row r="140" spans="1:11">
      <c r="A140" s="2"/>
      <c r="B140" s="2"/>
      <c r="C140" s="2" t="s">
        <v>182</v>
      </c>
      <c r="D140" s="3" t="s">
        <v>321</v>
      </c>
      <c r="E140" t="s">
        <v>322</v>
      </c>
      <c r="F140">
        <v>0</v>
      </c>
      <c r="H140" s="1" t="s">
        <v>408</v>
      </c>
      <c r="I140">
        <f>F140*VALUE(LEFT(H140, FIND(":", H140)-1))</f>
        <v>0</v>
      </c>
      <c r="J140" t="s">
        <v>9</v>
      </c>
      <c r="K140" t="s">
        <v>29</v>
      </c>
    </row>
  </sheetData>
  <mergeCells count="26">
    <mergeCell ref="A2:A43"/>
    <mergeCell ref="A44:A79"/>
    <mergeCell ref="A80:A110"/>
    <mergeCell ref="A111:A140"/>
    <mergeCell ref="B2:B6"/>
    <mergeCell ref="B7:B11"/>
    <mergeCell ref="B12:B16"/>
    <mergeCell ref="B17:B22"/>
    <mergeCell ref="B23:B27"/>
    <mergeCell ref="B28:B33"/>
    <mergeCell ref="B34:B39"/>
    <mergeCell ref="B40:B43"/>
    <mergeCell ref="B44:B55"/>
    <mergeCell ref="B56:B61"/>
    <mergeCell ref="B62:B67"/>
    <mergeCell ref="B68:B73"/>
    <mergeCell ref="B74:B79"/>
    <mergeCell ref="B80:B85"/>
    <mergeCell ref="B86:B91"/>
    <mergeCell ref="B92:B97"/>
    <mergeCell ref="B98:B104"/>
    <mergeCell ref="B105:B110"/>
    <mergeCell ref="B111:B117"/>
    <mergeCell ref="B118:B124"/>
    <mergeCell ref="B125:B133"/>
    <mergeCell ref="B134:B140"/>
  </mergeCells>
  <dataValidations count="139">
    <dataValidation type="list" allowBlank="1" showInputMessage="1" showErrorMessage="1" sqref="H2">
      <formula1>"0: None"</formula1>
    </dataValidation>
    <dataValidation type="list" allowBlank="1" showInputMessage="1" showErrorMessage="1" sqref="H3">
      <formula1>"0: None"</formula1>
    </dataValidation>
    <dataValidation type="list" allowBlank="1" showInputMessage="1" showErrorMessage="1" sqref="H4">
      <formula1>"0: None"</formula1>
    </dataValidation>
    <dataValidation type="list" allowBlank="1" showInputMessage="1" showErrorMessage="1" sqref="H5">
      <formula1>"0: Not monitored,2: Reported,5: Manual remediation,10: Automated remediation"</formula1>
    </dataValidation>
    <dataValidation type="list" allowBlank="1" showInputMessage="1" showErrorMessage="1" sqref="H6">
      <formula1>"0: None"</formula1>
    </dataValidation>
    <dataValidation type="list" allowBlank="1" showInputMessage="1" showErrorMessage="1" sqref="H7">
      <formula1>"0: 0 items completed,3: 1 item completed,5: 2 items completed,8: 3 items completed,10: 4 items completed"</formula1>
    </dataValidation>
    <dataValidation type="list" allowBlank="1" showInputMessage="1" showErrorMessage="1" sqref="H8">
      <formula1>"0: No items completed,3: 1 item completed,5: 2 items completed,8: 3 items completed,10: 4 items completed"</formula1>
    </dataValidation>
    <dataValidation type="list" allowBlank="1" showInputMessage="1" showErrorMessage="1" sqref="H9">
      <formula1>"0: No items completed,4: 1 item completed,7: 2 items completed,10: 3 items completed"</formula1>
    </dataValidation>
    <dataValidation type="list" allowBlank="1" showInputMessage="1" showErrorMessage="1" sqref="H10">
      <formula1>"0: No items completed,3: item 1 completed,5: items 1-2 completed,8: items 1-3 completed,10: items 1-4 completed"</formula1>
    </dataValidation>
    <dataValidation type="list" allowBlank="1" showInputMessage="1" showErrorMessage="1" sqref="H11">
      <formula1>"0: No items completed,3: 1 item completed,5: 2 items completed,8: 3 items completed,10: 4 items completed"</formula1>
    </dataValidation>
    <dataValidation type="list" allowBlank="1" showInputMessage="1" showErrorMessage="1" sqref="H12">
      <formula1>"0: None"</formula1>
    </dataValidation>
    <dataValidation type="list" allowBlank="1" showInputMessage="1" showErrorMessage="1" sqref="H13">
      <formula1>"0: None"</formula1>
    </dataValidation>
    <dataValidation type="list" allowBlank="1" showInputMessage="1" showErrorMessage="1" sqref="H14">
      <formula1>"0: None"</formula1>
    </dataValidation>
    <dataValidation type="list" allowBlank="1" showInputMessage="1" showErrorMessage="1" sqref="H15">
      <formula1>"0: No items completed,5: 1 item completed,10: 2 items completed"</formula1>
    </dataValidation>
    <dataValidation type="list" allowBlank="1" showInputMessage="1" showErrorMessage="1" sqref="H16">
      <formula1>"0: None"</formula1>
    </dataValidation>
    <dataValidation type="list" allowBlank="1" showInputMessage="1" showErrorMessage="1" sqref="H17">
      <formula1>"0: Not done,10: Defined"</formula1>
    </dataValidation>
    <dataValidation type="list" allowBlank="1" showInputMessage="1" showErrorMessage="1" sqref="H18">
      <formula1>"0: None"</formula1>
    </dataValidation>
    <dataValidation type="list" allowBlank="1" showInputMessage="1" showErrorMessage="1" sqref="H19">
      <formula1>"0: None"</formula1>
    </dataValidation>
    <dataValidation type="list" allowBlank="1" showInputMessage="1" showErrorMessage="1" sqref="H20">
      <formula1>"0: None"</formula1>
    </dataValidation>
    <dataValidation type="list" allowBlank="1" showInputMessage="1" showErrorMessage="1" sqref="H21">
      <formula1>"0: None"</formula1>
    </dataValidation>
    <dataValidation type="list" allowBlank="1" showInputMessage="1" showErrorMessage="1" sqref="H22">
      <formula1>"0: None"</formula1>
    </dataValidation>
    <dataValidation type="list" allowBlank="1" showInputMessage="1" showErrorMessage="1" sqref="H23">
      <formula1>"0: None"</formula1>
    </dataValidation>
    <dataValidation type="list" allowBlank="1" showInputMessage="1" showErrorMessage="1" sqref="H24">
      <formula1>"0: No rules established,10: Published policy"</formula1>
    </dataValidation>
    <dataValidation type="list" allowBlank="1" showInputMessage="1" showErrorMessage="1" sqref="H25">
      <formula1>"0: None"</formula1>
    </dataValidation>
    <dataValidation type="list" allowBlank="1" showInputMessage="1" showErrorMessage="1" sqref="H26">
      <formula1>"0: No items completed,2: 1 item completed,4: 2 items completed,6: 3 items completed,8: 4 items completed,10: 5 items completed"</formula1>
    </dataValidation>
    <dataValidation type="list" allowBlank="1" showInputMessage="1" showErrorMessage="1" sqref="H27">
      <formula1>"0: None"</formula1>
    </dataValidation>
    <dataValidation type="list" allowBlank="1" showInputMessage="1" showErrorMessage="1" sqref="H28">
      <formula1>"0: No items completed,2: item 1 completed,4: items 1-2 completed,6: items 1-3 completed,8: items 1-4 completed,10: items 1-5 completed"</formula1>
    </dataValidation>
    <dataValidation type="list" allowBlank="1" showInputMessage="1" showErrorMessage="1" sqref="H29">
      <formula1>"0: No items completed,2: 1 item completed,4: 2 items completed,6: 3 items completed,8: 4 items completed,10: 5 items completed"</formula1>
    </dataValidation>
    <dataValidation type="list" allowBlank="1" showInputMessage="1" showErrorMessage="1" sqref="H30">
      <formula1>"0: No items completed,4: 1 item completed,7: 2 items completed,10: 3 items completed"</formula1>
    </dataValidation>
    <dataValidation type="list" allowBlank="1" showInputMessage="1" showErrorMessage="1" sqref="H31">
      <formula1>"0: No items completed,4: 1 item completed,7: 2 items completed,10: 3 items completed"</formula1>
    </dataValidation>
    <dataValidation type="list" allowBlank="1" showInputMessage="1" showErrorMessage="1" sqref="H32">
      <formula1>"0: No items completed,3: item 1 completed,5: items 1-2 completed,8: items 1-3 completed,10: items 1-4 completed"</formula1>
    </dataValidation>
    <dataValidation type="list" allowBlank="1" showInputMessage="1" showErrorMessage="1" sqref="H33">
      <formula1>"0: No items completed,4: 1 item completed,7: 2 items completed,10: 3 items completed"</formula1>
    </dataValidation>
    <dataValidation type="list" allowBlank="1" showInputMessage="1" showErrorMessage="1" sqref="H34">
      <formula1>"0: None"</formula1>
    </dataValidation>
    <dataValidation type="list" allowBlank="1" showInputMessage="1" showErrorMessage="1" sqref="H35">
      <formula1>"0: None"</formula1>
    </dataValidation>
    <dataValidation type="list" allowBlank="1" showInputMessage="1" showErrorMessage="1" sqref="H36">
      <formula1>"0: Not done,10: Done and clearly defined"</formula1>
    </dataValidation>
    <dataValidation type="list" allowBlank="1" showInputMessage="1" showErrorMessage="1" sqref="H37">
      <formula1>"0: None"</formula1>
    </dataValidation>
    <dataValidation type="list" allowBlank="1" showInputMessage="1" showErrorMessage="1" sqref="H38">
      <formula1>"0: None"</formula1>
    </dataValidation>
    <dataValidation type="list" allowBlank="1" showInputMessage="1" showErrorMessage="1" sqref="H39">
      <formula1>"0: Not done,10: Defined"</formula1>
    </dataValidation>
    <dataValidation type="list" allowBlank="1" showInputMessage="1" showErrorMessage="1" sqref="H40">
      <formula1>"0: No executive sponsor identified,10: Executive sponsor formally identified and actively engaged"</formula1>
    </dataValidation>
    <dataValidation type="list" allowBlank="1" showInputMessage="1" showErrorMessage="1" sqref="H41">
      <formula1>"0: No items completed,4: 1 item completed,7: 2 items completed,10: 3 items completed"</formula1>
    </dataValidation>
    <dataValidation type="list" allowBlank="1" showInputMessage="1" showErrorMessage="1" sqref="H42">
      <formula1>"0: No items completed,4: 1 item completed,7: 2 items completed,10: 3 items completed"</formula1>
    </dataValidation>
    <dataValidation type="list" allowBlank="1" showInputMessage="1" showErrorMessage="1" sqref="H43">
      <formula1>"0: No items completed,4: 1 item completed,7: 2 items completed,10: 3 items completed"</formula1>
    </dataValidation>
    <dataValidation type="list" allowBlank="1" showInputMessage="1" showErrorMessage="1" sqref="H44">
      <formula1>"0: Does not exist,10: Exists"</formula1>
    </dataValidation>
    <dataValidation type="list" allowBlank="1" showInputMessage="1" showErrorMessage="1" sqref="H45">
      <formula1>"0: No items completed,2: 1 item completed,4: 2 items completed,6: 3 items completed,8: 4 items completed,10: 5 items completed"</formula1>
    </dataValidation>
    <dataValidation type="list" allowBlank="1" showInputMessage="1" showErrorMessage="1" sqref="H46">
      <formula1>"0: No documented method,10: Documented method of assessing modernization efforts"</formula1>
    </dataValidation>
    <dataValidation type="list" allowBlank="1" showInputMessage="1" showErrorMessage="1" sqref="H47">
      <formula1>"0: None"</formula1>
    </dataValidation>
    <dataValidation type="list" allowBlank="1" showInputMessage="1" showErrorMessage="1" sqref="H48">
      <formula1>"0: None"</formula1>
    </dataValidation>
    <dataValidation type="list" allowBlank="1" showInputMessage="1" showErrorMessage="1" sqref="H49">
      <formula1>"0: None"</formula1>
    </dataValidation>
    <dataValidation type="list" allowBlank="1" showInputMessage="1" showErrorMessage="1" sqref="H50">
      <formula1>"0: None"</formula1>
    </dataValidation>
    <dataValidation type="list" allowBlank="1" showInputMessage="1" showErrorMessage="1" sqref="H51">
      <formula1>"0: None"</formula1>
    </dataValidation>
    <dataValidation type="list" allowBlank="1" showInputMessage="1" showErrorMessage="1" sqref="H52">
      <formula1>"0: No items completed,4: 1 item completed,7: 2 items completed,10: 3 items completed"</formula1>
    </dataValidation>
    <dataValidation type="list" allowBlank="1" showInputMessage="1" showErrorMessage="1" sqref="H53">
      <formula1>"0: None"</formula1>
    </dataValidation>
    <dataValidation type="list" allowBlank="1" showInputMessage="1" showErrorMessage="1" sqref="H54">
      <formula1>"0: None"</formula1>
    </dataValidation>
    <dataValidation type="list" allowBlank="1" showInputMessage="1" showErrorMessage="1" sqref="H55">
      <formula1>"0: None"</formula1>
    </dataValidation>
    <dataValidation type="list" allowBlank="1" showInputMessage="1" showErrorMessage="1" sqref="H56">
      <formula1>"0: None"</formula1>
    </dataValidation>
    <dataValidation type="list" allowBlank="1" showInputMessage="1" showErrorMessage="1" sqref="H57">
      <formula1>"0: None"</formula1>
    </dataValidation>
    <dataValidation type="list" allowBlank="1" showInputMessage="1" showErrorMessage="1" sqref="H58">
      <formula1>"0: None"</formula1>
    </dataValidation>
    <dataValidation type="list" allowBlank="1" showInputMessage="1" showErrorMessage="1" sqref="H59">
      <formula1>"0: None"</formula1>
    </dataValidation>
    <dataValidation type="list" allowBlank="1" showInputMessage="1" showErrorMessage="1" sqref="H60">
      <formula1>"0: None"</formula1>
    </dataValidation>
    <dataValidation type="list" allowBlank="1" showInputMessage="1" showErrorMessage="1" sqref="H61">
      <formula1>"0: None"</formula1>
    </dataValidation>
    <dataValidation type="list" allowBlank="1" showInputMessage="1" showErrorMessage="1" sqref="H62">
      <formula1>"0: 0%,1: 10%,2: 20%,3: 30%,4: 40%,5: 50%,6: 60%,7: 70%,8: 80%,9: 90%,10: Near 100%"</formula1>
    </dataValidation>
    <dataValidation type="list" allowBlank="1" showInputMessage="1" showErrorMessage="1" sqref="H63">
      <formula1>"0: None"</formula1>
    </dataValidation>
    <dataValidation type="list" allowBlank="1" showInputMessage="1" showErrorMessage="1" sqref="H64">
      <formula1>"0: None"</formula1>
    </dataValidation>
    <dataValidation type="list" allowBlank="1" showInputMessage="1" showErrorMessage="1" sqref="H65">
      <formula1>"0: Not done,10: Policy in place and published"</formula1>
    </dataValidation>
    <dataValidation type="list" allowBlank="1" showInputMessage="1" showErrorMessage="1" sqref="H66">
      <formula1>"0: None"</formula1>
    </dataValidation>
    <dataValidation type="list" allowBlank="1" showInputMessage="1" showErrorMessage="1" sqref="H67">
      <formula1>"0: None"</formula1>
    </dataValidation>
    <dataValidation type="list" allowBlank="1" showInputMessage="1" showErrorMessage="1" sqref="H68">
      <formula1>"0: Not done,10: Policy in place and published"</formula1>
    </dataValidation>
    <dataValidation type="list" allowBlank="1" showInputMessage="1" showErrorMessage="1" sqref="H69">
      <formula1>"0: Not done,10: Policy in place and published"</formula1>
    </dataValidation>
    <dataValidation type="list" allowBlank="1" showInputMessage="1" showErrorMessage="1" sqref="H70">
      <formula1>"0: None"</formula1>
    </dataValidation>
    <dataValidation type="list" allowBlank="1" showInputMessage="1" showErrorMessage="1" sqref="H71">
      <formula1>"0: None"</formula1>
    </dataValidation>
    <dataValidation type="list" allowBlank="1" showInputMessage="1" showErrorMessage="1" sqref="H72">
      <formula1>"0: None"</formula1>
    </dataValidation>
    <dataValidation type="list" allowBlank="1" showInputMessage="1" showErrorMessage="1" sqref="H73">
      <formula1>"0: No items completed,2: 1 item completed,4: 2 items completed,6: 3 items completed,8: 4 items completed,10: 5 items completed"</formula1>
    </dataValidation>
    <dataValidation type="list" allowBlank="1" showInputMessage="1" showErrorMessage="1" sqref="H74">
      <formula1>"0: None"</formula1>
    </dataValidation>
    <dataValidation type="list" allowBlank="1" showInputMessage="1" showErrorMessage="1" sqref="H75">
      <formula1>"0: No teardown/shutdown policy,3: Published policy,6: Classification tagged or otherwise identifiable,10: Enforced Policy with tagged/identifiable classifications"</formula1>
    </dataValidation>
    <dataValidation type="list" allowBlank="1" showInputMessage="1" showErrorMessage="1" sqref="H76">
      <formula1>"0: 0%,1: 10%,2: 20%,3: 30%,4: 40%,5: 50%,6: 60%,7: 70%,8: 80%,9: 90%,10: Near 100%"</formula1>
    </dataValidation>
    <dataValidation type="list" allowBlank="1" showInputMessage="1" showErrorMessage="1" sqref="H77">
      <formula1>"0: None"</formula1>
    </dataValidation>
    <dataValidation type="list" allowBlank="1" showInputMessage="1" showErrorMessage="1" sqref="H78">
      <formula1>"0: None"</formula1>
    </dataValidation>
    <dataValidation type="list" allowBlank="1" showInputMessage="1" showErrorMessage="1" sqref="H79">
      <formula1>"0: None"</formula1>
    </dataValidation>
    <dataValidation type="list" allowBlank="1" showInputMessage="1" showErrorMessage="1" sqref="H80">
      <formula1>"0: None"</formula1>
    </dataValidation>
    <dataValidation type="list" allowBlank="1" showInputMessage="1" showErrorMessage="1" sqref="H81">
      <formula1>"0: None"</formula1>
    </dataValidation>
    <dataValidation type="list" allowBlank="1" showInputMessage="1" showErrorMessage="1" sqref="H82">
      <formula1>"0: None"</formula1>
    </dataValidation>
    <dataValidation type="list" allowBlank="1" showInputMessage="1" showErrorMessage="1" sqref="H83">
      <formula1>"0: None"</formula1>
    </dataValidation>
    <dataValidation type="list" allowBlank="1" showInputMessage="1" showErrorMessage="1" sqref="H84">
      <formula1>"0: No review of trends,3: Manual review of trends,6: Automated trend detection,10: Manual review and automated trend detection"</formula1>
    </dataValidation>
    <dataValidation type="list" allowBlank="1" showInputMessage="1" showErrorMessage="1" sqref="H85">
      <formula1>"0: None"</formula1>
    </dataValidation>
    <dataValidation type="list" allowBlank="1" showInputMessage="1" showErrorMessage="1" sqref="H86">
      <formula1>"0: Does not exist,10: Exists"</formula1>
    </dataValidation>
    <dataValidation type="list" allowBlank="1" showInputMessage="1" showErrorMessage="1" sqref="H87">
      <formula1>"0: Does not exist,10: Exists"</formula1>
    </dataValidation>
    <dataValidation type="list" allowBlank="1" showInputMessage="1" showErrorMessage="1" sqref="H88">
      <formula1>"0: None"</formula1>
    </dataValidation>
    <dataValidation type="list" allowBlank="1" showInputMessage="1" showErrorMessage="1" sqref="H89">
      <formula1>"0: None"</formula1>
    </dataValidation>
    <dataValidation type="list" allowBlank="1" showInputMessage="1" showErrorMessage="1" sqref="H90">
      <formula1>"0: None"</formula1>
    </dataValidation>
    <dataValidation type="list" allowBlank="1" showInputMessage="1" showErrorMessage="1" sqref="H91">
      <formula1>"0: None"</formula1>
    </dataValidation>
    <dataValidation type="list" allowBlank="1" showInputMessage="1" showErrorMessage="1" sqref="H92">
      <formula1>"0: None"</formula1>
    </dataValidation>
    <dataValidation type="list" allowBlank="1" showInputMessage="1" showErrorMessage="1" sqref="H93">
      <formula1>"0: No items completed,3: 1 item completed,5: 2 items completed,8: 3 items completed,10: 4 items completed"</formula1>
    </dataValidation>
    <dataValidation type="list" allowBlank="1" showInputMessage="1" showErrorMessage="1" sqref="H94">
      <formula1>"0: None,1: Annual,2: Quarterly,5: Monthly,7: Bi-Weekly,8: Weekly,10: Daily"</formula1>
    </dataValidation>
    <dataValidation type="list" allowBlank="1" showInputMessage="1" showErrorMessage="1" sqref="H95">
      <formula1>"0: 0%,1: 10%,2: 20%,3: 30%,4: 40%,5: 50%,6: 60%,7: 70%,8: 80%,9: 90%,10: Near 100%"</formula1>
    </dataValidation>
    <dataValidation type="list" allowBlank="1" showInputMessage="1" showErrorMessage="1" sqref="H96">
      <formula1>"0: No alerting,10: Alerting exists"</formula1>
    </dataValidation>
    <dataValidation type="list" allowBlank="1" showInputMessage="1" showErrorMessage="1" sqref="H97">
      <formula1>"0: No items completed,3: 1 item completed,5: 2 items completed,8: 3 items completed,10: 4 items completed"</formula1>
    </dataValidation>
    <dataValidation type="list" allowBlank="1" showInputMessage="1" showErrorMessage="1" sqref="H98">
      <formula1>"0: No items completed,2: 1 item completed,4: 2 items completed,6: 3 items completed,8: 4 items completed,10: 5 items completed"</formula1>
    </dataValidation>
    <dataValidation type="list" allowBlank="1" showInputMessage="1" showErrorMessage="1" sqref="H99">
      <formula1>"0: No items completed,2: 1 item completed,4: 2 items completed,6: 3 items completed,8: 4 items completed,10: 5 items completed"</formula1>
    </dataValidation>
    <dataValidation type="list" allowBlank="1" showInputMessage="1" showErrorMessage="1" sqref="H100">
      <formula1>"0: No items completed,2: 1 item completed,4: 2 items completed,6: 3 items completed,8: 4 items completed,10: 5 items completed"</formula1>
    </dataValidation>
    <dataValidation type="list" allowBlank="1" showInputMessage="1" showErrorMessage="1" sqref="H101">
      <formula1>"0: No items completed,5: item 1 completed,10: item 2 completed"</formula1>
    </dataValidation>
    <dataValidation type="list" allowBlank="1" showInputMessage="1" showErrorMessage="1" sqref="H102">
      <formula1>"0: No items completed,4: 1 item completed,7: 2 items completed,10: 3 items completed"</formula1>
    </dataValidation>
    <dataValidation type="list" allowBlank="1" showInputMessage="1" showErrorMessage="1" sqref="H103">
      <formula1>"0: 0%,1: 10%,2: 20%,3: 30%,4: 40%,5: 50%,6: 60%,7: 70%,8: 80%,9: 90%,10: Near 100%"</formula1>
    </dataValidation>
    <dataValidation type="list" allowBlank="1" showInputMessage="1" showErrorMessage="1" sqref="H104">
      <formula1>"0: No items completed,3: 1 item completed,5: 2 items completed,8: 3 items completed,10: 4 items completed"</formula1>
    </dataValidation>
    <dataValidation type="list" allowBlank="1" showInputMessage="1" showErrorMessage="1" sqref="H105">
      <formula1>"0: No items completed,3: 1 item completed,5: 2 items completed,8: 3 items completed,10: 4 items completed"</formula1>
    </dataValidation>
    <dataValidation type="list" allowBlank="1" showInputMessage="1" showErrorMessage="1" sqref="H106">
      <formula1>"0: No items completed,2: 1 item completed,4: 2 items completed,5: 3 items completed,7: 4 items completed,9: 5 items completed,10: 6 items completed"</formula1>
    </dataValidation>
    <dataValidation type="list" allowBlank="1" showInputMessage="1" showErrorMessage="1" sqref="H107">
      <formula1>"0: No items completed,2: 1 item completed,4: 2 items completed,5: 3 items completed,7: 4 items completed,9: 5 items completed,10: 6 items completed"</formula1>
    </dataValidation>
    <dataValidation type="list" allowBlank="1" showInputMessage="1" showErrorMessage="1" sqref="H108">
      <formula1>"0: No items completed,3: 1 item completed,5: 2 items completed,8: 3 items completed,10: 4 items completed"</formula1>
    </dataValidation>
    <dataValidation type="list" allowBlank="1" showInputMessage="1" showErrorMessage="1" sqref="H109">
      <formula1>"0: No items completed,3: 1 item completed,5: 2 items completed,8: 3 items completed,10: 4 items completed"</formula1>
    </dataValidation>
    <dataValidation type="list" allowBlank="1" showInputMessage="1" showErrorMessage="1" sqref="H110">
      <formula1>"0: None,10: communicates wins in KPI thresholds and unit costs"</formula1>
    </dataValidation>
    <dataValidation type="list" allowBlank="1" showInputMessage="1" showErrorMessage="1" sqref="H111">
      <formula1>"0: No items completed,5: 1 item completed,10: 2 items completed"</formula1>
    </dataValidation>
    <dataValidation type="list" allowBlank="1" showInputMessage="1" showErrorMessage="1" sqref="H112">
      <formula1>"0: 0%,1: 10%,2: 20%,3: 30%,4: 40%,5: 50%,6: 60%,7: 70%,8: 80% ,9: 90%,10: Near 100%"</formula1>
    </dataValidation>
    <dataValidation type="list" allowBlank="1" showInputMessage="1" showErrorMessage="1" sqref="H113">
      <formula1>"0: No items completed,5: 1 item  completed,10: 2 items completed"</formula1>
    </dataValidation>
    <dataValidation type="list" allowBlank="1" showInputMessage="1" showErrorMessage="1" sqref="H114">
      <formula1>"0: 0%,1: 10%,2: 20%,3: 30%,4: 40%,5: 50%,6: 60%,7: 70%,8: 80%,9: 90%,10: Near 100%"</formula1>
    </dataValidation>
    <dataValidation type="list" allowBlank="1" showInputMessage="1" showErrorMessage="1" sqref="H115">
      <formula1>"0: 0%,1: 10%,2: 20%,3: 30%,4: 40%,5: 50%,6: 60%,7: 70%,8: 80%,9: 90%,10: Near 100%"</formula1>
    </dataValidation>
    <dataValidation type="list" allowBlank="1" showInputMessage="1" showErrorMessage="1" sqref="H116">
      <formula1>"0: No items completed,3: 1 item completed,5: 2 items completed,8: 3 items completed,10: 4 items completed"</formula1>
    </dataValidation>
    <dataValidation type="list" allowBlank="1" showInputMessage="1" showErrorMessage="1" sqref="H117">
      <formula1>"0: None"</formula1>
    </dataValidation>
    <dataValidation type="list" allowBlank="1" showInputMessage="1" showErrorMessage="1" sqref="H118">
      <formula1>"0: No items completed,2: 1 item completed,4: 2 items completed,6: 3 items completed,8: 4 items completed,10: 5 items completed"</formula1>
    </dataValidation>
    <dataValidation type="list" allowBlank="1" showInputMessage="1" showErrorMessage="1" sqref="H119">
      <formula1>"0: No items completed,2: 1 item completed,4: 2 items completed,5: 3 items completed,7: 4 items completed,9: 5 items completed,10: 6 items completed"</formula1>
    </dataValidation>
    <dataValidation type="list" allowBlank="1" showInputMessage="1" showErrorMessage="1" sqref="H120">
      <formula1>"0: No alerting to any owners,1: Alerting in at least one owner,3: Alerting to some owners [&gt;20%],6: Alerting to most owners [&gt;60%],10: Alerting to all owners [100%]"</formula1>
    </dataValidation>
    <dataValidation type="list" allowBlank="1" showInputMessage="1" showErrorMessage="1" sqref="H121">
      <formula1>"0: None"</formula1>
    </dataValidation>
    <dataValidation type="list" allowBlank="1" showInputMessage="1" showErrorMessage="1" sqref="H122">
      <formula1>"0: None"</formula1>
    </dataValidation>
    <dataValidation type="list" allowBlank="1" showInputMessage="1" showErrorMessage="1" sqref="H123">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124">
      <formula1>"0: None"</formula1>
    </dataValidation>
    <dataValidation type="list" allowBlank="1" showInputMessage="1" showErrorMessage="1" sqref="H125">
      <formula1>"0: None"</formula1>
    </dataValidation>
    <dataValidation type="list" allowBlank="1" showInputMessage="1" showErrorMessage="1" sqref="H126">
      <formula1>"0: None"</formula1>
    </dataValidation>
    <dataValidation type="list" allowBlank="1" showInputMessage="1" showErrorMessage="1" sqref="H127">
      <formula1>"0: None"</formula1>
    </dataValidation>
    <dataValidation type="list" allowBlank="1" showInputMessage="1" showErrorMessage="1" sqref="H128">
      <formula1>"0: Never,1: Monthly or greater,2: More than a week,3: 7 days,4: 5 days,6: 2 days,8: 1 day,10: Instant"</formula1>
    </dataValidation>
    <dataValidation type="list" allowBlank="1" showInputMessage="1" showErrorMessage="1" sqref="H129">
      <formula1>"0: None"</formula1>
    </dataValidation>
    <dataValidation type="list" allowBlank="1" showInputMessage="1" showErrorMessage="1" sqref="H130">
      <formula1>"0: No items completed,2: 1 items completed,3: 2 items completed,5: 3 items completed,6: 4 items completed,8: 5 items completed,9: 6 items completed,10: 7 items completed"</formula1>
    </dataValidation>
    <dataValidation type="list" allowBlank="1" showInputMessage="1" showErrorMessage="1" sqref="H131">
      <formula1>"0: No items completed,2: 1 items completed,3: 2 items completed,5: 3 items completed,6: 4 items completed,8: 5 items completed,9: 6 items completed,10: 7 items completed"</formula1>
    </dataValidation>
    <dataValidation type="list" allowBlank="1" showInputMessage="1" showErrorMessage="1" sqref="H132">
      <formula1>"0: None"</formula1>
    </dataValidation>
    <dataValidation type="list" allowBlank="1" showInputMessage="1" showErrorMessage="1" sqref="H133">
      <formula1>"0: Never,1: Monthly or greater,2: More than a week,3: 7 days,4: 5 days,6: 2 days,8: 1 day,10: Instant"</formula1>
    </dataValidation>
    <dataValidation type="list" allowBlank="1" showInputMessage="1" showErrorMessage="1" sqref="H134">
      <formula1>"0: None"</formula1>
    </dataValidation>
    <dataValidation type="list" allowBlank="1" showInputMessage="1" showErrorMessage="1" sqref="H135">
      <formula1>"0: No items completed,3: 1 item completed,5: 2 items completed,8: 3 items completed,10: 4 items completed"</formula1>
    </dataValidation>
    <dataValidation type="list" allowBlank="1" showInputMessage="1" showErrorMessage="1" sqref="H136">
      <formula1>"0: No items completed,3: 1 item completed,5: 2 items completed,8: 3 items completed,10: 4 items completed"</formula1>
    </dataValidation>
    <dataValidation type="list" allowBlank="1" showInputMessage="1" showErrorMessage="1" sqref="H137">
      <formula1>"0: None"</formula1>
    </dataValidation>
    <dataValidation type="list" allowBlank="1" showInputMessage="1" showErrorMessage="1" sqref="H138">
      <formula1>"0: No alerting in workflow tools,1: Alerting in at least one tool,3: Alerting in some tooling [&gt;20%],6: Alerting in most tooling [&gt;60%],10: Alerting in all workflow tools [100%]"</formula1>
    </dataValidation>
    <dataValidation type="list" allowBlank="1" showInputMessage="1" showErrorMessage="1" sqref="H139">
      <formula1>"0: None"</formula1>
    </dataValidation>
    <dataValidation type="list" allowBlank="1" showInputMessage="1" showErrorMessage="1" sqref="H140">
      <formula1>"0: None"</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 ref="D131" r:id="rId130"/>
    <hyperlink ref="D132" r:id="rId131"/>
    <hyperlink ref="D133" r:id="rId132"/>
    <hyperlink ref="D134" r:id="rId133"/>
    <hyperlink ref="D135" r:id="rId134"/>
    <hyperlink ref="D136" r:id="rId135"/>
    <hyperlink ref="D137" r:id="rId136"/>
    <hyperlink ref="D138" r:id="rId137"/>
    <hyperlink ref="D139" r:id="rId138"/>
    <hyperlink ref="D140" r:id="rId139"/>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2026-04-04T19:45:57Z</dcterms:created>
  <dcterms:modified xsi:type="dcterms:W3CDTF">2026-04-04T19:45:57Z</dcterms:modified>
</cp:coreProperties>
</file>