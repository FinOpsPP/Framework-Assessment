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<sst xmlns="http://schemas.openxmlformats.org/spreadsheetml/2006/main" count="938" uniqueCount="350">
  <si>
    <t>Sum of Weights</t>
  </si>
  <si>
    <t>Maximum Possible Score</t>
  </si>
  <si>
    <t>Calculated Weighted Average Score</t>
  </si>
  <si>
    <t>Difference from Maximum Score</t>
  </si>
  <si>
    <t>Domain</t>
  </si>
  <si>
    <t>Action Count</t>
  </si>
  <si>
    <t>Governance</t>
  </si>
  <si>
    <t>Manage the FinOps Practice</t>
  </si>
  <si>
    <t>Quantify Business Value</t>
  </si>
  <si>
    <t>Usage &amp; Cost</t>
  </si>
  <si>
    <t>Capability</t>
  </si>
  <si>
    <t>Allocation</t>
  </si>
  <si>
    <t>Anomaly Management</t>
  </si>
  <si>
    <t>Architecting &amp; Workload Placement</t>
  </si>
  <si>
    <t>Automation, Tools &amp; Services</t>
  </si>
  <si>
    <t>Budgeting</t>
  </si>
  <si>
    <t>Data Ingestion</t>
  </si>
  <si>
    <t>Executive Strategy Alignment</t>
  </si>
  <si>
    <t>FinOps Assessment</t>
  </si>
  <si>
    <t>FinOps Education &amp; Enablement</t>
  </si>
  <si>
    <t>FinOps Practice Operations</t>
  </si>
  <si>
    <t>Forecasting</t>
  </si>
  <si>
    <t>Intersecting Disciplines</t>
  </si>
  <si>
    <t>Invoicing &amp; Chargeback</t>
  </si>
  <si>
    <t>KPIs &amp; Benchmarking</t>
  </si>
  <si>
    <t>Licensing &amp; SaaS</t>
  </si>
  <si>
    <t>Planning &amp; Estimating</t>
  </si>
  <si>
    <t>Policy</t>
  </si>
  <si>
    <t>Rate Optimization</t>
  </si>
  <si>
    <t>Reporting &amp; Analytics</t>
  </si>
  <si>
    <t>Unit Economics</t>
  </si>
  <si>
    <t>Usage Optimization</t>
  </si>
  <si>
    <t>serial number</t>
  </si>
  <si>
    <t>version</t>
  </si>
  <si>
    <t>weights</t>
  </si>
  <si>
    <t>formula</t>
  </si>
  <si>
    <t>scoring</t>
  </si>
  <si>
    <t>weighted score</t>
  </si>
  <si>
    <t>_domain</t>
  </si>
  <si>
    <t>_capability</t>
  </si>
  <si>
    <t>domain</t>
  </si>
  <si>
    <t>capability</t>
  </si>
  <si>
    <t>action</t>
  </si>
  <si>
    <t>Define Assessment Scope &amp; Goals</t>
  </si>
  <si>
    <t>Collect Standardized Assessment Inputs</t>
  </si>
  <si>
    <t>Establish Baselines &amp; Identify Trends</t>
  </si>
  <si>
    <t>Prioritize Actions &amp; Publish Roadmap</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</si>
  <si>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</si>
  <si>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</si>
  <si>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</si>
  <si>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</si>
  <si>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</si>
  <si>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</si>
  <si>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</si>
  <si>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</si>
  <si>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</si>
  <si>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</si>
  <si>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</si>
  <si>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</si>
  <si>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</si>
  <si>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</si>
  <si>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</si>
  <si>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Establish Cross-Team Collab</t>
  </si>
  <si>
    <t>Align Goals &amp; Data Models</t>
  </si>
  <si>
    <t>Share Reporting &amp; Definitions</t>
  </si>
  <si>
    <t>Provide Technology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</si>
  <si>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</si>
  <si>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</si>
  <si>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</si>
  <si>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</si>
  <si>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</si>
  <si>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</si>
  <si>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</si>
  <si>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</si>
  <si>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Establish Executive Sponsorship</t>
  </si>
  <si>
    <t>Establish Architecture Review Process</t>
  </si>
  <si>
    <t>Assess Workloads for Modernization</t>
  </si>
  <si>
    <t>Estimate Trade-Offs &amp; Document Cases</t>
  </si>
  <si>
    <t>Create Workload Selection Criteria</t>
  </si>
  <si>
    <t>Define Success Criteria &amp; Scope</t>
  </si>
  <si>
    <t>Enforce Tagging at Onboarding</t>
  </si>
  <si>
    <t>Align Timelines with Budgets</t>
  </si>
  <si>
    <t>Start with Lower Environments</t>
  </si>
  <si>
    <t>Review Outcomes &amp; Adjust Patterns</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</si>
  <si>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</si>
  <si>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</si>
  <si>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</si>
  <si>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</si>
  <si>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</si>
  <si>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</si>
  <si>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</si>
  <si>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</si>
  <si>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</si>
  <si>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</si>
  <si>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</si>
  <si>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</si>
  <si>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</si>
  <si>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</si>
  <si>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</si>
  <si>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Define Metadata &amp; Hierarchy Strategy</t>
  </si>
  <si>
    <t>Identify Shared Costs &amp; Rules</t>
  </si>
  <si>
    <t>Publish Allocation Taxonomy</t>
  </si>
  <si>
    <t>Implement Tagging Standards</t>
  </si>
  <si>
    <t>Validate Compliance &amp; Report Gaps</t>
  </si>
  <si>
    <t>Automate Tagging &amp; Enforcement</t>
  </si>
  <si>
    <t>Configure Cost Spike Detection</t>
  </si>
  <si>
    <t>Define Severity &amp; Response SLAs</t>
  </si>
  <si>
    <t>Automate Alert Routing</t>
  </si>
  <si>
    <t>Track Metrics &amp; Avoidance Rates</t>
  </si>
  <si>
    <t>Define Data Granularity &amp; Frequency</t>
  </si>
  <si>
    <t>Implement Data Quality Checks</t>
  </si>
  <si>
    <t>Build Ingestion Anomaly Dashboards</t>
  </si>
  <si>
    <t>Define ingestion frequency; include mandatory metadata.</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</si>
  <si>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</si>
  <si>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</si>
  <si>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</si>
  <si>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</si>
  <si>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</si>
  <si>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</si>
  <si>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</si>
  <si>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Track Trends &amp; Compare Over Time</t>
  </si>
  <si>
    <t>Define Budgeting Strategy</t>
  </si>
  <si>
    <t>Integrate Rolling Forecasts</t>
  </si>
  <si>
    <t>Increase Shared Cost Coverage</t>
  </si>
  <si>
    <t>Publish Budget vs Actual Reports</t>
  </si>
  <si>
    <t>Automate Budget Threshold Alerts</t>
  </si>
  <si>
    <t>Review &amp; Adapt Budget Strategy</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</si>
  <si>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</si>
  <si>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</si>
  <si>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</si>
  <si>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</si>
  <si>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</si>
  <si>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</si>
  <si>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</si>
  <si>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</si>
  <si>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</si>
  <si>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</si>
  <si>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</si>
  <si>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</si>
  <si>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</si>
  <si>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</si>
  <si>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</si>
  <si>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</si>
  <si>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</si>
  <si>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</si>
  <si>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Monitor Compliance &amp; Report Breaches</t>
  </si>
  <si>
    <t>113</t>
  </si>
  <si>
    <t>114</t>
  </si>
  <si>
    <t>115</t>
  </si>
  <si>
    <t>116</t>
  </si>
  <si>
    <t>097</t>
  </si>
  <si>
    <t>098</t>
  </si>
  <si>
    <t>099</t>
  </si>
  <si>
    <t>100</t>
  </si>
  <si>
    <t>101</t>
  </si>
  <si>
    <t>091</t>
  </si>
  <si>
    <t>092</t>
  </si>
  <si>
    <t>093</t>
  </si>
  <si>
    <t>094</t>
  </si>
  <si>
    <t>095</t>
  </si>
  <si>
    <t>096</t>
  </si>
  <si>
    <t>124</t>
  </si>
  <si>
    <t>125</t>
  </si>
  <si>
    <t>126</t>
  </si>
  <si>
    <t>127</t>
  </si>
  <si>
    <t>129</t>
  </si>
  <si>
    <t>130</t>
  </si>
  <si>
    <t>131</t>
  </si>
  <si>
    <t>132</t>
  </si>
  <si>
    <t>133</t>
  </si>
  <si>
    <t>134</t>
  </si>
  <si>
    <t>107</t>
  </si>
  <si>
    <t>108</t>
  </si>
  <si>
    <t>109</t>
  </si>
  <si>
    <t>110</t>
  </si>
  <si>
    <t>111</t>
  </si>
  <si>
    <t>112</t>
  </si>
  <si>
    <t>136</t>
  </si>
  <si>
    <t>061</t>
  </si>
  <si>
    <t>062</t>
  </si>
  <si>
    <t>063</t>
  </si>
  <si>
    <t>118</t>
  </si>
  <si>
    <t>119</t>
  </si>
  <si>
    <t>120</t>
  </si>
  <si>
    <t>121</t>
  </si>
  <si>
    <t>122</t>
  </si>
  <si>
    <t>123</t>
  </si>
  <si>
    <t>073</t>
  </si>
  <si>
    <t>074</t>
  </si>
  <si>
    <t>075</t>
  </si>
  <si>
    <t>076</t>
  </si>
  <si>
    <t>077</t>
  </si>
  <si>
    <t>078</t>
  </si>
  <si>
    <t>079</t>
  </si>
  <si>
    <t>080</t>
  </si>
  <si>
    <t>084</t>
  </si>
  <si>
    <t>067</t>
  </si>
  <si>
    <t>068</t>
  </si>
  <si>
    <t>069</t>
  </si>
  <si>
    <t>070</t>
  </si>
  <si>
    <t>071</t>
  </si>
  <si>
    <t>072</t>
  </si>
  <si>
    <t>009</t>
  </si>
  <si>
    <t>010</t>
  </si>
  <si>
    <t>011</t>
  </si>
  <si>
    <t>012</t>
  </si>
  <si>
    <t>013</t>
  </si>
  <si>
    <t>014</t>
  </si>
  <si>
    <t>023</t>
  </si>
  <si>
    <t>024</t>
  </si>
  <si>
    <t>025</t>
  </si>
  <si>
    <t>028</t>
  </si>
  <si>
    <t>004</t>
  </si>
  <si>
    <t>006</t>
  </si>
  <si>
    <t>007</t>
  </si>
  <si>
    <t>135</t>
  </si>
  <si>
    <t>016</t>
  </si>
  <si>
    <t>017</t>
  </si>
  <si>
    <t>018</t>
  </si>
  <si>
    <t>019</t>
  </si>
  <si>
    <t>020</t>
  </si>
  <si>
    <t>021</t>
  </si>
  <si>
    <t>022</t>
  </si>
  <si>
    <t>053</t>
  </si>
  <si>
    <t>043</t>
  </si>
  <si>
    <t>044</t>
  </si>
  <si>
    <t>045</t>
  </si>
  <si>
    <t>046</t>
  </si>
  <si>
    <t>047</t>
  </si>
  <si>
    <t>048</t>
  </si>
  <si>
    <t>038</t>
  </si>
  <si>
    <t>039</t>
  </si>
  <si>
    <t>040</t>
  </si>
  <si>
    <t>041</t>
  </si>
  <si>
    <t>042</t>
  </si>
  <si>
    <t>030</t>
  </si>
  <si>
    <t>031</t>
  </si>
  <si>
    <t>032</t>
  </si>
  <si>
    <t>033</t>
  </si>
  <si>
    <t>034</t>
  </si>
  <si>
    <t>035</t>
  </si>
  <si>
    <t>036</t>
  </si>
  <si>
    <t>055</t>
  </si>
  <si>
    <t>056</t>
  </si>
  <si>
    <t>057</t>
  </si>
  <si>
    <t>058</t>
  </si>
  <si>
    <t>059</t>
  </si>
  <si>
    <t>060</t>
  </si>
  <si>
    <t>105</t>
  </si>
  <si>
    <t>1.1.0</t>
  </si>
  <si>
    <t>1.0.0</t>
  </si>
  <si>
    <t>1.8.0</t>
  </si>
  <si>
    <t>2.1.0</t>
  </si>
  <si>
    <t>1.6.0</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</si>
  <si>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</si>
  <si>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</si>
  <si>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</si>
  <si>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</si>
  <si>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Define process for reviewing asking for credits from CSPs
* Define frequency of review, etc.
10*Ceil(x/2)</t>
  </si>
  <si>
    <t>* Weighted sum
  Criteria document (score x3),
  KPI alignment (score x3),
  Stakeholder count capped at 5 (score x2),
  Refresh cadence (score x2).
  Max Raw Score (31)
* Criteria formally documented (0=None, 1=Draft, 2=Approved, 3=Versioned+Reviewed)
* Criteria explicitly mapped to FinOps KPIs (0=None, 1=Partial, 2=Full)
* of FinOps personas involved in criteria definition (0-5)
* Criteria review frequency (0=Never, 1=Ad-hoc, 2=Annual, 3=Quarterly+)
* Output Range (0 - Max Raw)</t>
  </si>
  <si>
    <t xml:space="preserve">* Weighted sum
  TCO (score x3),
  Vendor scoring (score x3),
  Decision document (score x3),
  Rules established (score x1).
  Max Raw Score (29)
* TCO_Analysis - Total Cost of Ownership analysis performed
  (0=None, 1=High-level, 2=Detailed, 3=Validated with Finance)
* Vendor_Scored - Vendor options scored against criteria
  (0=None, 1=Informal, 2=Structured scorecard, 3=Multi-stakeholder RFP)
* Decision_Doc - Build vs Buy decision formally documented and approved
  (0=No, 1=Informal note, 2=Formal doc, 3=Exec-approved+reviewed)
* Rules_Est - Guiding rules / policy established for future decsions
  (0=No rules, 1=Draft, 2=Published+Enforced)
* Output Range (0 - Max Raw)
</t>
  </si>
  <si>
    <t>* Weighted sum
  Env coverage (score x4),
  Data Integration (score x4),
  Tag Config (score x2),
  Config Doc (score x2).
  Max raw (52)
* Env_Coverage - % of cloud environments covered by deployed tools
  (0=0%, 1&lt;50%, 2=50-79%, 3=80-94%, 4=95-99%, 5=100%)
* Data_Integration - Data sources integrated (billing, usage, tags, business context)
  (0=None, 1=Billing Only, 2=+Usage, 3=+Tags, 4=+Business context, 5=All+Automated)
* Tag_Config - Tag/allocation rules configured and enforced tool
  (0=No, 1=Partial manual, 2=Full manual, 3=Automated enforcement)
* Config_Doc - Tool configuration documented and version-controlled
  (0=No rules, 1=Informal, 2=Documented, 3=Version-controlled+Reviewed)
* Output Range (0-52)</t>
  </si>
  <si>
    <t>* Define communication pathways between FinOps and the business
* Conduct trainings or create videos
* Send out period newsletters
* CI/CD governance
* Proactive recommendations at deployment
10*Ceil(x/5)</t>
  </si>
  <si>
    <t>1. Identify key stakeholder teams and key contacts for each (ITAM, SRE, etc.)
2. Document initial thoughts on how this other team may help FinOps goals
3. Document initial thoughts on how the FinOps team may help the other team's goals
4. Reach out to the other team with the initial summary of goals
5. Meet with the other team to better understand how they work</t>
  </si>
  <si>
    <t>* Align on new shared goals that will enhance both teams achievements
* Determine what data is shared across teams to establish a single source of truth
* Identify and agree on tasks that will lead to accomplishing shared goals
* Determine which teams have capacity to work on goal tasks periodically
* Incorporate tasks into team capacity planning and dependency workflows
10*Ceil(x/5)</t>
  </si>
  <si>
    <t>* Agree on definitions of shared concepts across teams to reduce confusion
* Adjust reporting so shared metrics are consistent and from the same source, even if multiple dashboards exist
* Regularly align on interpretation of shared metrics to plan next steps and report those to leadership
10*Ceil(x/3)</t>
  </si>
  <si>
    <t>* Share relevant data already maintained and tracked by FinOps
* Share metric reporting and the calculations behind FinOps created metrics
* Create new metrics from FinOps and other data based on needs of allied teams
10*Ceil(x/3)</t>
  </si>
  <si>
    <t>1. Document new policies as a result of cross-functional collaboration goals
2. Broad policy changes are accepted by governing and stakeholder teams
3. Communication is distributed by all governing teams using shared language
4. Change management procedures are followed for updated policy implementation
10*Ceil(x/4)</t>
  </si>
  <si>
    <t>* Come up with shared responses as allied teams to external conflicts
* Resolve internal conflicts before deciding on the next steps needed to reach shared goals
* Communication to external teams or leaders includes the full story of how allied teams achieve goals together
10*Ceil(x/3)</t>
  </si>
  <si>
    <t>* Define process to address notifications from CSPs
* Define cadence for review
* Define exception criteria
* Define thresholds to change
* Combine with architecture analysis for SP &amp; RIs
10*Ceil(x/5)</t>
  </si>
  <si>
    <t>* Process defined for new accounts and resources deployed
* Train teams on process
* Automate process
10*Ceil(x/3)</t>
  </si>
  <si>
    <t>* Process for evaluating spot periodically
* Tag for date last reviewed
* New deployments get reviewed beforehand
* Define requirements for spot
* Have exception process and expiration date
10*Ceil(x/5)</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</si>
  <si>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</si>
  <si>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</si>
  <si>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</si>
  <si>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</si>
  <si>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</si>
  <si>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</si>
  <si>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</si>
  <si>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</si>
  <si>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</si>
  <si>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</si>
  <si>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</si>
  <si>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</si>
  <si>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</si>
  <si>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 Data based on existing patterns
* Proactive investigations and interviews with teams
* Proactive self reporting by the business and/or teams
* 100% catch rate of spikes before they happen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</si>
  <si>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</si>
  <si>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</si>
  <si>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</si>
  <si>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</si>
  <si>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</si>
  <si>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</si>
  <si>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</si>
  <si>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</si>
  <si>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</si>
  <si>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 Identify key business performance data to select from various operational areas
* Agree on source of truth for business data with common terminology
* Clearly define what a unit of value is for each business metric to be tracked
* Agree on which costs to use in calculations (list, discounted, amortized, etc.)
* Define formulas to allocate cost per unit of business value over the same time period to create a KPI
* Changes to data ingestion, metric definitions, or cost allocations are documented and communicated
10*Ceil(x/6)</t>
  </si>
  <si>
    <t>* Continuously collect data over time for all inputs to unit economic equations
* Automate unit economic calculations for each corresponding point in time for cost and business data
* Create plots of unit economic metrics over time to easily report on and track trends
* Show disaggregated data to compare unit metrics with standalone usage or rate changes
* Include filters to show data by each relevant operational area of the business (product/segment/region/etc.)
* Plots and dashboards are easily accessible by key stakeholders across the business
10*Ceil(x/6)</t>
  </si>
  <si>
    <t>* Collaborate with stakeholders on desired acceptable thresholds or goals for each unit economic value
* Review data with stakeholders when metrics exceed acceptable thresholds in either direction
* Incorporate metric reviews into the decision making processes of stakeholder departments
* The FinOps team should periodically publish an analysis of major changes in the metrics dashboards
  as well as facilitate reviews of metrics, adoption data, modifications, and KPI refreshes
10*Ceil(x/4)</t>
  </si>
  <si>
    <t>* Scenario plan for which metric values will drive the next decisions, behaviors, or outcomes needed
* Investigate root causes for changes in metric values to determine next steps
* Add to the backlog which actions are required to get unit metrics to a desired level
* Unit economics influence the decisions in build vs buy, architecture design, workload placement,
  migration, sourcing, pricing, etc.
10*Ceil(x/4)</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</si>
  <si>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</si>
  <si>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</si>
  <si>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</si>
  <si>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1-2 completed'}, {'Score': 8, 'Condition': 'items 1-3 completed'}, {'Score': 10, 'Condition': 'items 1-4 completed'}]</t>
  </si>
  <si>
    <t>[{'Score': 0, 'Condition': 'Not done'}, {'Score': 10, 'Condition': 'Completed'}]</t>
  </si>
  <si>
    <t>[{'Score': 0, 'Condition': 'No items completed'}, {'Score': 5, 'Condition': '1 item completed'}, {'Score': 10, 'Condition': '2 items completed'}]</t>
  </si>
  <si>
    <t>[{'Score': 0, 'Condition': 'Not done'}, {'Score': 10, 'Condition': 'Defined'}]</t>
  </si>
  <si>
    <t>[{'Score': 0, 'Condition': 'Low Maturity (0-9)'}, {'Score': 4, 'Condition': 'Developing (10-18)'}, {'Score': 7, 'Condition': 'Established (19-26)'}, {'Score': 10, 'Condition': 'Optimizing (27-31)'}]</t>
  </si>
  <si>
    <t>[{'Score': 0, 'Condition': 'Low Maturity, Score Range (0-8)'}, {'Score': 4, 'Condition': 'Developing, Score Range (9-17)'}, {'Score': 7, 'Condition': 'Established, Score Range (18-24)'}, {'Score': 10, 'Condition': 'Optimizing, Score Range (25-29)'}]</t>
  </si>
  <si>
    <t>[{'Score': 0, 'Condition': 'Low Maturity, Score Range (0-15)'}, {'Score': 4, 'Condition': 'Developing, Score Range (16-31)'}, {'Score': 7, 'Condition': 'Established, Score Range (32-44)'}, {'Score': 10, 'Condition': 'Optimizing, Score Range (45-52)'}]</t>
  </si>
  <si>
    <t>[{'Score': 0, 'Condition': 'No items completed'}, {'Score': 2, 'Condition': '1 item completed'}, {'Score': 4, 'Condition': '2 items completed'}, {'Score': 6, 'Condition': '3 items completed'}, {'Score': 8, 'Condition': '4 items completed'}, {'Score': 10, 'Condition': '5 items completed'}]</t>
  </si>
  <si>
    <t>[{'Score': 0, 'Condition': 'No items completed'}, {'Score': 2, 'Condition': 'item 1 completed'}, {'Score': 4, 'Condition': 'items 1-2 completed'}, {'Score': 6, 'Condition': 'items 1-3 completed'}, {'Score': 8, 'Condition': 'items 1-4 completed'}, {'Score': 10, 'Condition': 'items 1-5 completed'}]</t>
  </si>
  <si>
    <t>[{'Score': 0, 'Condition': 'Not done'}, {'Score': 10, 'Condition': 'Done and clearly defined'}]</t>
  </si>
  <si>
    <t>[{'Score': 0, 'Condition': 'No executive sponsor identified'}, {'Score': 10, 'Condition': 'Executive sponsor formally identified and actively engaged'}]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</si>
  <si>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</si>
  <si>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</si>
  <si>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</si>
  <si>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</si>
  <si>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</si>
  <si>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</si>
  <si>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</si>
  <si>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</si>
  <si>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</si>
  <si>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</si>
  <si>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</si>
  <si>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</si>
  <si>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</si>
  <si>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</si>
  <si>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</si>
  <si>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</si>
  <si>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</si>
  <si>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'None'}, {'Score': 10, 'Condition': 'communicates wins in KPI thresholds and unit costs'}]</t>
  </si>
  <si>
    <t>[{'Score': 0, 'Condition': 'Not monitored'}, {'Score': 2, 'Condition': 'Reported'}, {'Score': 5, 'Condition': 'Manual remediation'}, {'Score': 10, 'Condition': 'Automated remediation'}]</t>
  </si>
  <si>
    <t>0: 0 items completed</t>
  </si>
  <si>
    <t>0: No items completed</t>
  </si>
  <si>
    <t>0: Not done</t>
  </si>
  <si>
    <t>0: Low Maturity (0-9)</t>
  </si>
  <si>
    <t>0: Low Maturity. Score Range (0-8)</t>
  </si>
  <si>
    <t>0: Low Maturity. Score Range (0-15)</t>
  </si>
  <si>
    <t>0: No executive sponsor identified</t>
  </si>
  <si>
    <t>0: Does not exist</t>
  </si>
  <si>
    <t>0: No documented method</t>
  </si>
  <si>
    <t>0: 0%</t>
  </si>
  <si>
    <t>0: No teardown/shutdown policy</t>
  </si>
  <si>
    <t>0: No alerting to any owners</t>
  </si>
  <si>
    <t>0: Never</t>
  </si>
  <si>
    <t>0: No alerting in workflow tools</t>
  </si>
  <si>
    <t>0: No review of trends</t>
  </si>
  <si>
    <t>0: None</t>
  </si>
  <si>
    <t>0: No alerting</t>
  </si>
  <si>
    <t>0: Not monitored</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</si>
</sst>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Domain</c:v>
          </c:tx>
          <c:cat>
            <c:strRef>
              <c:f>Overview!$A$5:$A$8</c:f>
              <c:strCache>
                <c:ptCount val="4"/>
                <c:pt idx="0">
                  <c:v>Governance</c:v>
                </c:pt>
                <c:pt idx="1">
                  <c:v>Manage the FinOps Practice</c:v>
                </c:pt>
                <c:pt idx="2">
                  <c:v>Quantify Business Value</c:v>
                </c:pt>
                <c:pt idx="3">
                  <c:v>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scaling>
        <c:axPos val="l"/>
        <c:majorGridlines/>
        <c:numFmt formatCode="General" sourceLinked="1"/>
        <c:majorTickMark val="cross"/>
        <c:tickLblPos val="nextTo"/>
        <c:crossAx val="50020001"/>
        <c:crosses val="autoZero"/>
        <c:crossBetween val="between"/>
      </c:valAx>
    </c:plotArea>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Capability</c:v>
          </c:tx>
          <c:cat>
            <c:strRef>
              <c:f>Overview!$A$12:$A$32</c:f>
              <c:strCache>
                <c:ptCount val="21"/>
                <c:pt idx="0">
                  <c:v>Allocation</c:v>
                </c:pt>
                <c:pt idx="1">
                  <c:v>Anomaly Management</c:v>
                </c:pt>
                <c:pt idx="2">
                  <c:v>Architecting &amp; Workload Placement</c:v>
                </c:pt>
                <c:pt idx="3">
                  <c:v>Automation, Tools &amp; Services</c:v>
                </c:pt>
                <c:pt idx="4">
                  <c:v>Budgeting</c:v>
                </c:pt>
                <c:pt idx="5">
                  <c:v>Data Ingestion</c:v>
                </c:pt>
                <c:pt idx="6">
                  <c:v>Executive Strategy Alignment</c:v>
                </c:pt>
                <c:pt idx="7">
                  <c:v>FinOps Assessment</c:v>
                </c:pt>
                <c:pt idx="8">
                  <c:v>FinOps Education &amp; Enablement</c:v>
                </c:pt>
                <c:pt idx="9">
                  <c:v>FinOps Practice Operations</c:v>
                </c:pt>
                <c:pt idx="10">
                  <c:v>Forecasting</c:v>
                </c:pt>
                <c:pt idx="11">
                  <c:v>Intersecting Disciplines</c:v>
                </c:pt>
                <c:pt idx="12">
                  <c:v>Invoicing &amp; Chargeback</c:v>
                </c:pt>
                <c:pt idx="13">
                  <c:v>KPIs &amp; Benchmarking</c:v>
                </c:pt>
                <c:pt idx="14">
                  <c:v>Licensing &amp; SaaS</c:v>
                </c:pt>
                <c:pt idx="15">
                  <c:v>Planning &amp; Estimating</c:v>
                </c:pt>
                <c:pt idx="16">
                  <c:v>Policy</c:v>
                </c:pt>
                <c:pt idx="17">
                  <c:v>Rate Optimization</c:v>
                </c:pt>
                <c:pt idx="18">
                  <c:v>Reporting &amp; Analytics</c:v>
                </c:pt>
                <c:pt idx="19">
                  <c:v>Unit Economics</c:v>
                </c:pt>
                <c:pt idx="20">
                  <c:v>Usage Optimization</c:v>
                </c:pt>
              </c:strCache>
            </c:strRef>
          </c:cat>
          <c:val>
            <c:numRef>
              <c:f>Overview!$U$12:$U$32</c:f>
              <c:numCache>
                <c:formatCode>General</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scaling>
        <c:axPos val="l"/>
        <c:majorGridlines/>
        <c:numFmt formatCode="General" sourceLinked="1"/>
        <c:majorTickMark val="cross"/>
        <c:tickLblPos val="nextTo"/>
        <c:crossAx val="50030001"/>
        <c:crosses val="autoZero"/>
        <c:crossBetween val="between"/>
      </c:valAx>
    </c:plotArea>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2"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13.md" TargetMode="External"/><Relationship Id="rId2" Type="http://schemas.openxmlformats.org/officeDocument/2006/relationships/hyperlink" Target="https://github.com/FinOpsPP/Framework-Assessment/tree/main/components/actions/114.md" TargetMode="External"/><Relationship Id="rId3" Type="http://schemas.openxmlformats.org/officeDocument/2006/relationships/hyperlink" Target="https://github.com/FinOpsPP/Framework-Assessment/tree/main/components/actions/115.md" TargetMode="External"/><Relationship Id="rId4" Type="http://schemas.openxmlformats.org/officeDocument/2006/relationships/hyperlink" Target="https://github.com/FinOpsPP/Framework-Assessment/tree/main/components/actions/116.md" TargetMode="External"/><Relationship Id="rId5" Type="http://schemas.openxmlformats.org/officeDocument/2006/relationships/hyperlink" Target="https://github.com/FinOpsPP/Framework-Assessment/tree/main/components/actions/097.md" TargetMode="External"/><Relationship Id="rId6" Type="http://schemas.openxmlformats.org/officeDocument/2006/relationships/hyperlink" Target="https://github.com/FinOpsPP/Framework-Assessment/tree/main/components/actions/098.md" TargetMode="External"/><Relationship Id="rId7" Type="http://schemas.openxmlformats.org/officeDocument/2006/relationships/hyperlink" Target="https://github.com/FinOpsPP/Framework-Assessment/tree/main/components/actions/099.md" TargetMode="External"/><Relationship Id="rId8" Type="http://schemas.openxmlformats.org/officeDocument/2006/relationships/hyperlink" Target="https://github.com/FinOpsPP/Framework-Assessment/tree/main/components/actions/100.md" TargetMode="External"/><Relationship Id="rId9" Type="http://schemas.openxmlformats.org/officeDocument/2006/relationships/hyperlink" Target="https://github.com/FinOpsPP/Framework-Assessment/tree/main/components/actions/101.md" TargetMode="External"/><Relationship Id="rId10" Type="http://schemas.openxmlformats.org/officeDocument/2006/relationships/hyperlink" Target="https://github.com/FinOpsPP/Framework-Assessment/tree/main/components/actions/091.md" TargetMode="External"/><Relationship Id="rId11" Type="http://schemas.openxmlformats.org/officeDocument/2006/relationships/hyperlink" Target="https://github.com/FinOpsPP/Framework-Assessment/tree/main/components/actions/092.md" TargetMode="External"/><Relationship Id="rId12" Type="http://schemas.openxmlformats.org/officeDocument/2006/relationships/hyperlink" Target="https://github.com/FinOpsPP/Framework-Assessment/tree/main/components/actions/093.md" TargetMode="External"/><Relationship Id="rId13" Type="http://schemas.openxmlformats.org/officeDocument/2006/relationships/hyperlink" Target="https://github.com/FinOpsPP/Framework-Assessment/tree/main/components/actions/094.md" TargetMode="External"/><Relationship Id="rId14" Type="http://schemas.openxmlformats.org/officeDocument/2006/relationships/hyperlink" Target="https://github.com/FinOpsPP/Framework-Assessment/tree/main/components/actions/095.md" TargetMode="External"/><Relationship Id="rId15" Type="http://schemas.openxmlformats.org/officeDocument/2006/relationships/hyperlink" Target="https://github.com/FinOpsPP/Framework-Assessment/tree/main/components/actions/096.md" TargetMode="External"/><Relationship Id="rId16" Type="http://schemas.openxmlformats.org/officeDocument/2006/relationships/hyperlink" Target="https://github.com/FinOpsPP/Framework-Assessment/tree/main/components/actions/124.md" TargetMode="External"/><Relationship Id="rId17" Type="http://schemas.openxmlformats.org/officeDocument/2006/relationships/hyperlink" Target="https://github.com/FinOpsPP/Framework-Assessment/tree/main/components/actions/125.md" TargetMode="External"/><Relationship Id="rId18" Type="http://schemas.openxmlformats.org/officeDocument/2006/relationships/hyperlink" Target="https://github.com/FinOpsPP/Framework-Assessment/tree/main/components/actions/126.md" TargetMode="External"/><Relationship Id="rId19" Type="http://schemas.openxmlformats.org/officeDocument/2006/relationships/hyperlink" Target="https://github.com/FinOpsPP/Framework-Assessment/tree/main/components/actions/127.md" TargetMode="External"/><Relationship Id="rId20" Type="http://schemas.openxmlformats.org/officeDocument/2006/relationships/hyperlink" Target="https://github.com/FinOpsPP/Framework-Assessment/tree/main/components/actions/129.md" TargetMode="External"/><Relationship Id="rId21" Type="http://schemas.openxmlformats.org/officeDocument/2006/relationships/hyperlink" Target="https://github.com/FinOpsPP/Framework-Assessment/tree/main/components/actions/130.md" TargetMode="External"/><Relationship Id="rId22" Type="http://schemas.openxmlformats.org/officeDocument/2006/relationships/hyperlink" Target="https://github.com/FinOpsPP/Framework-Assessment/tree/main/components/actions/131.md" TargetMode="External"/><Relationship Id="rId23" Type="http://schemas.openxmlformats.org/officeDocument/2006/relationships/hyperlink" Target="https://github.com/FinOpsPP/Framework-Assessment/tree/main/components/actions/132.md" TargetMode="External"/><Relationship Id="rId24" Type="http://schemas.openxmlformats.org/officeDocument/2006/relationships/hyperlink" Target="https://github.com/FinOpsPP/Framework-Assessment/tree/main/components/actions/133.md" TargetMode="External"/><Relationship Id="rId25" Type="http://schemas.openxmlformats.org/officeDocument/2006/relationships/hyperlink" Target="https://github.com/FinOpsPP/Framework-Assessment/tree/main/components/actions/134.md" TargetMode="External"/><Relationship Id="rId26" Type="http://schemas.openxmlformats.org/officeDocument/2006/relationships/hyperlink" Target="https://github.com/FinOpsPP/Framework-Assessment/tree/main/components/actions/107.md" TargetMode="External"/><Relationship Id="rId27" Type="http://schemas.openxmlformats.org/officeDocument/2006/relationships/hyperlink" Target="https://github.com/FinOpsPP/Framework-Assessment/tree/main/components/actions/108.md" TargetMode="External"/><Relationship Id="rId28" Type="http://schemas.openxmlformats.org/officeDocument/2006/relationships/hyperlink" Target="https://github.com/FinOpsPP/Framework-Assessment/tree/main/components/actions/109.md" TargetMode="External"/><Relationship Id="rId29" Type="http://schemas.openxmlformats.org/officeDocument/2006/relationships/hyperlink" Target="https://github.com/FinOpsPP/Framework-Assessment/tree/main/components/actions/110.md" TargetMode="External"/><Relationship Id="rId30" Type="http://schemas.openxmlformats.org/officeDocument/2006/relationships/hyperlink" Target="https://github.com/FinOpsPP/Framework-Assessment/tree/main/components/actions/111.md" TargetMode="External"/><Relationship Id="rId31" Type="http://schemas.openxmlformats.org/officeDocument/2006/relationships/hyperlink" Target="https://github.com/FinOpsPP/Framework-Assessment/tree/main/components/actions/112.md" TargetMode="External"/><Relationship Id="rId32" Type="http://schemas.openxmlformats.org/officeDocument/2006/relationships/hyperlink" Target="https://github.com/FinOpsPP/Framework-Assessment/tree/main/components/actions/136.md" TargetMode="External"/><Relationship Id="rId33" Type="http://schemas.openxmlformats.org/officeDocument/2006/relationships/hyperlink" Target="https://github.com/FinOpsPP/Framework-Assessment/tree/main/components/actions/061.md" TargetMode="External"/><Relationship Id="rId34" Type="http://schemas.openxmlformats.org/officeDocument/2006/relationships/hyperlink" Target="https://github.com/FinOpsPP/Framework-Assessment/tree/main/components/actions/062.md" TargetMode="External"/><Relationship Id="rId35" Type="http://schemas.openxmlformats.org/officeDocument/2006/relationships/hyperlink" Target="https://github.com/FinOpsPP/Framework-Assessment/tree/main/components/actions/063.md" TargetMode="External"/><Relationship Id="rId36" Type="http://schemas.openxmlformats.org/officeDocument/2006/relationships/hyperlink" Target="https://github.com/FinOpsPP/Framework-Assessment/tree/main/components/actions/118.md" TargetMode="External"/><Relationship Id="rId37" Type="http://schemas.openxmlformats.org/officeDocument/2006/relationships/hyperlink" Target="https://github.com/FinOpsPP/Framework-Assessment/tree/main/components/actions/119.md" TargetMode="External"/><Relationship Id="rId38" Type="http://schemas.openxmlformats.org/officeDocument/2006/relationships/hyperlink" Target="https://github.com/FinOpsPP/Framework-Assessment/tree/main/components/actions/120.md" TargetMode="External"/><Relationship Id="rId39" Type="http://schemas.openxmlformats.org/officeDocument/2006/relationships/hyperlink" Target="https://github.com/FinOpsPP/Framework-Assessment/tree/main/components/actions/121.md" TargetMode="External"/><Relationship Id="rId40" Type="http://schemas.openxmlformats.org/officeDocument/2006/relationships/hyperlink" Target="https://github.com/FinOpsPP/Framework-Assessment/tree/main/components/actions/122.md" TargetMode="External"/><Relationship Id="rId41" Type="http://schemas.openxmlformats.org/officeDocument/2006/relationships/hyperlink" Target="https://github.com/FinOpsPP/Framework-Assessment/tree/main/components/actions/123.md" TargetMode="External"/><Relationship Id="rId42" Type="http://schemas.openxmlformats.org/officeDocument/2006/relationships/hyperlink" Target="https://github.com/FinOpsPP/Framework-Assessment/tree/main/components/actions/073.md" TargetMode="External"/><Relationship Id="rId43" Type="http://schemas.openxmlformats.org/officeDocument/2006/relationships/hyperlink" Target="https://github.com/FinOpsPP/Framework-Assessment/tree/main/components/actions/074.md" TargetMode="External"/><Relationship Id="rId44" Type="http://schemas.openxmlformats.org/officeDocument/2006/relationships/hyperlink" Target="https://github.com/FinOpsPP/Framework-Assessment/tree/main/components/actions/075.md" TargetMode="External"/><Relationship Id="rId45" Type="http://schemas.openxmlformats.org/officeDocument/2006/relationships/hyperlink" Target="https://github.com/FinOpsPP/Framework-Assessment/tree/main/components/actions/076.md" TargetMode="External"/><Relationship Id="rId46" Type="http://schemas.openxmlformats.org/officeDocument/2006/relationships/hyperlink" Target="https://github.com/FinOpsPP/Framework-Assessment/tree/main/components/actions/077.md" TargetMode="External"/><Relationship Id="rId47" Type="http://schemas.openxmlformats.org/officeDocument/2006/relationships/hyperlink" Target="https://github.com/FinOpsPP/Framework-Assessment/tree/main/components/actions/078.md" TargetMode="External"/><Relationship Id="rId48" Type="http://schemas.openxmlformats.org/officeDocument/2006/relationships/hyperlink" Target="https://github.com/FinOpsPP/Framework-Assessment/tree/main/components/actions/079.md" TargetMode="External"/><Relationship Id="rId49" Type="http://schemas.openxmlformats.org/officeDocument/2006/relationships/hyperlink" Target="https://github.com/FinOpsPP/Framework-Assessment/tree/main/components/actions/080.md" TargetMode="External"/><Relationship Id="rId50" Type="http://schemas.openxmlformats.org/officeDocument/2006/relationships/hyperlink" Target="https://github.com/FinOpsPP/Framework-Assessment/tree/main/components/actions/084.md" TargetMode="External"/><Relationship Id="rId51" Type="http://schemas.openxmlformats.org/officeDocument/2006/relationships/hyperlink" Target="https://github.com/FinOpsPP/Framework-Assessment/tree/main/components/actions/067.md" TargetMode="External"/><Relationship Id="rId52" Type="http://schemas.openxmlformats.org/officeDocument/2006/relationships/hyperlink" Target="https://github.com/FinOpsPP/Framework-Assessment/tree/main/components/actions/068.md" TargetMode="External"/><Relationship Id="rId53" Type="http://schemas.openxmlformats.org/officeDocument/2006/relationships/hyperlink" Target="https://github.com/FinOpsPP/Framework-Assessment/tree/main/components/actions/069.md" TargetMode="External"/><Relationship Id="rId54" Type="http://schemas.openxmlformats.org/officeDocument/2006/relationships/hyperlink" Target="https://github.com/FinOpsPP/Framework-Assessment/tree/main/components/actions/070.md" TargetMode="External"/><Relationship Id="rId55" Type="http://schemas.openxmlformats.org/officeDocument/2006/relationships/hyperlink" Target="https://github.com/FinOpsPP/Framework-Assessment/tree/main/components/actions/071.md" TargetMode="External"/><Relationship Id="rId56" Type="http://schemas.openxmlformats.org/officeDocument/2006/relationships/hyperlink" Target="https://github.com/FinOpsPP/Framework-Assessment/tree/main/components/actions/072.md" TargetMode="External"/><Relationship Id="rId57" Type="http://schemas.openxmlformats.org/officeDocument/2006/relationships/hyperlink" Target="https://github.com/FinOpsPP/Framework-Assessment/tree/main/components/actions/009.md" TargetMode="External"/><Relationship Id="rId58" Type="http://schemas.openxmlformats.org/officeDocument/2006/relationships/hyperlink" Target="https://github.com/FinOpsPP/Framework-Assessment/tree/main/components/actions/010.md" TargetMode="External"/><Relationship Id="rId59" Type="http://schemas.openxmlformats.org/officeDocument/2006/relationships/hyperlink" Target="https://github.com/FinOpsPP/Framework-Assessment/tree/main/components/actions/011.md" TargetMode="External"/><Relationship Id="rId60" Type="http://schemas.openxmlformats.org/officeDocument/2006/relationships/hyperlink" Target="https://github.com/FinOpsPP/Framework-Assessment/tree/main/components/actions/012.md" TargetMode="External"/><Relationship Id="rId61" Type="http://schemas.openxmlformats.org/officeDocument/2006/relationships/hyperlink" Target="https://github.com/FinOpsPP/Framework-Assessment/tree/main/components/actions/013.md" TargetMode="External"/><Relationship Id="rId62" Type="http://schemas.openxmlformats.org/officeDocument/2006/relationships/hyperlink" Target="https://github.com/FinOpsPP/Framework-Assessment/tree/main/components/actions/014.md" TargetMode="External"/><Relationship Id="rId63" Type="http://schemas.openxmlformats.org/officeDocument/2006/relationships/hyperlink" Target="https://github.com/FinOpsPP/Framework-Assessment/tree/main/components/actions/023.md" TargetMode="External"/><Relationship Id="rId64" Type="http://schemas.openxmlformats.org/officeDocument/2006/relationships/hyperlink" Target="https://github.com/FinOpsPP/Framework-Assessment/tree/main/components/actions/024.md" TargetMode="External"/><Relationship Id="rId65" Type="http://schemas.openxmlformats.org/officeDocument/2006/relationships/hyperlink" Target="https://github.com/FinOpsPP/Framework-Assessment/tree/main/components/actions/025.md" TargetMode="External"/><Relationship Id="rId66" Type="http://schemas.openxmlformats.org/officeDocument/2006/relationships/hyperlink" Target="https://github.com/FinOpsPP/Framework-Assessment/tree/main/components/actions/028.md" TargetMode="External"/><Relationship Id="rId67" Type="http://schemas.openxmlformats.org/officeDocument/2006/relationships/hyperlink" Target="https://github.com/FinOpsPP/Framework-Assessment/tree/main/components/actions/004.md" TargetMode="External"/><Relationship Id="rId68" Type="http://schemas.openxmlformats.org/officeDocument/2006/relationships/hyperlink" Target="https://github.com/FinOpsPP/Framework-Assessment/tree/main/components/actions/006.md" TargetMode="External"/><Relationship Id="rId69" Type="http://schemas.openxmlformats.org/officeDocument/2006/relationships/hyperlink" Target="https://github.com/FinOpsPP/Framework-Assessment/tree/main/components/actions/007.md" TargetMode="External"/><Relationship Id="rId70" Type="http://schemas.openxmlformats.org/officeDocument/2006/relationships/hyperlink" Target="https://github.com/FinOpsPP/Framework-Assessment/tree/main/components/actions/135.md" TargetMode="External"/><Relationship Id="rId71" Type="http://schemas.openxmlformats.org/officeDocument/2006/relationships/hyperlink" Target="https://github.com/FinOpsPP/Framework-Assessment/tree/main/components/actions/016.md" TargetMode="External"/><Relationship Id="rId72" Type="http://schemas.openxmlformats.org/officeDocument/2006/relationships/hyperlink" Target="https://github.com/FinOpsPP/Framework-Assessment/tree/main/components/actions/017.md" TargetMode="External"/><Relationship Id="rId73" Type="http://schemas.openxmlformats.org/officeDocument/2006/relationships/hyperlink" Target="https://github.com/FinOpsPP/Framework-Assessment/tree/main/components/actions/018.md" TargetMode="External"/><Relationship Id="rId74" Type="http://schemas.openxmlformats.org/officeDocument/2006/relationships/hyperlink" Target="https://github.com/FinOpsPP/Framework-Assessment/tree/main/components/actions/019.md" TargetMode="External"/><Relationship Id="rId75" Type="http://schemas.openxmlformats.org/officeDocument/2006/relationships/hyperlink" Target="https://github.com/FinOpsPP/Framework-Assessment/tree/main/components/actions/020.md" TargetMode="External"/><Relationship Id="rId76" Type="http://schemas.openxmlformats.org/officeDocument/2006/relationships/hyperlink" Target="https://github.com/FinOpsPP/Framework-Assessment/tree/main/components/actions/021.md" TargetMode="External"/><Relationship Id="rId77" Type="http://schemas.openxmlformats.org/officeDocument/2006/relationships/hyperlink" Target="https://github.com/FinOpsPP/Framework-Assessment/tree/main/components/actions/022.md" TargetMode="External"/><Relationship Id="rId78" Type="http://schemas.openxmlformats.org/officeDocument/2006/relationships/hyperlink" Target="https://github.com/FinOpsPP/Framework-Assessment/tree/main/components/actions/053.md" TargetMode="External"/><Relationship Id="rId79" Type="http://schemas.openxmlformats.org/officeDocument/2006/relationships/hyperlink" Target="https://github.com/FinOpsPP/Framework-Assessment/tree/main/components/actions/043.md" TargetMode="External"/><Relationship Id="rId80" Type="http://schemas.openxmlformats.org/officeDocument/2006/relationships/hyperlink" Target="https://github.com/FinOpsPP/Framework-Assessment/tree/main/components/actions/044.md" TargetMode="External"/><Relationship Id="rId81" Type="http://schemas.openxmlformats.org/officeDocument/2006/relationships/hyperlink" Target="https://github.com/FinOpsPP/Framework-Assessment/tree/main/components/actions/045.md" TargetMode="External"/><Relationship Id="rId82" Type="http://schemas.openxmlformats.org/officeDocument/2006/relationships/hyperlink" Target="https://github.com/FinOpsPP/Framework-Assessment/tree/main/components/actions/046.md" TargetMode="External"/><Relationship Id="rId83" Type="http://schemas.openxmlformats.org/officeDocument/2006/relationships/hyperlink" Target="https://github.com/FinOpsPP/Framework-Assessment/tree/main/components/actions/047.md" TargetMode="External"/><Relationship Id="rId84" Type="http://schemas.openxmlformats.org/officeDocument/2006/relationships/hyperlink" Target="https://github.com/FinOpsPP/Framework-Assessment/tree/main/components/actions/048.md" TargetMode="External"/><Relationship Id="rId85" Type="http://schemas.openxmlformats.org/officeDocument/2006/relationships/hyperlink" Target="https://github.com/FinOpsPP/Framework-Assessment/tree/main/components/actions/038.md" TargetMode="External"/><Relationship Id="rId86" Type="http://schemas.openxmlformats.org/officeDocument/2006/relationships/hyperlink" Target="https://github.com/FinOpsPP/Framework-Assessment/tree/main/components/actions/039.md" TargetMode="External"/><Relationship Id="rId87" Type="http://schemas.openxmlformats.org/officeDocument/2006/relationships/hyperlink" Target="https://github.com/FinOpsPP/Framework-Assessment/tree/main/components/actions/040.md" TargetMode="External"/><Relationship Id="rId88" Type="http://schemas.openxmlformats.org/officeDocument/2006/relationships/hyperlink" Target="https://github.com/FinOpsPP/Framework-Assessment/tree/main/components/actions/041.md" TargetMode="External"/><Relationship Id="rId89" Type="http://schemas.openxmlformats.org/officeDocument/2006/relationships/hyperlink" Target="https://github.com/FinOpsPP/Framework-Assessment/tree/main/components/actions/042.md" TargetMode="External"/><Relationship Id="rId90" Type="http://schemas.openxmlformats.org/officeDocument/2006/relationships/hyperlink" Target="https://github.com/FinOpsPP/Framework-Assessment/tree/main/components/actions/030.md" TargetMode="External"/><Relationship Id="rId91" Type="http://schemas.openxmlformats.org/officeDocument/2006/relationships/hyperlink" Target="https://github.com/FinOpsPP/Framework-Assessment/tree/main/components/actions/031.md" TargetMode="External"/><Relationship Id="rId92" Type="http://schemas.openxmlformats.org/officeDocument/2006/relationships/hyperlink" Target="https://github.com/FinOpsPP/Framework-Assessment/tree/main/components/actions/032.md" TargetMode="External"/><Relationship Id="rId93" Type="http://schemas.openxmlformats.org/officeDocument/2006/relationships/hyperlink" Target="https://github.com/FinOpsPP/Framework-Assessment/tree/main/components/actions/033.md" TargetMode="External"/><Relationship Id="rId94" Type="http://schemas.openxmlformats.org/officeDocument/2006/relationships/hyperlink" Target="https://github.com/FinOpsPP/Framework-Assessment/tree/main/components/actions/034.md" TargetMode="External"/><Relationship Id="rId95" Type="http://schemas.openxmlformats.org/officeDocument/2006/relationships/hyperlink" Target="https://github.com/FinOpsPP/Framework-Assessment/tree/main/components/actions/035.md" TargetMode="External"/><Relationship Id="rId96" Type="http://schemas.openxmlformats.org/officeDocument/2006/relationships/hyperlink" Target="https://github.com/FinOpsPP/Framework-Assessment/tree/main/components/actions/036.md" TargetMode="External"/><Relationship Id="rId97" Type="http://schemas.openxmlformats.org/officeDocument/2006/relationships/hyperlink" Target="https://github.com/FinOpsPP/Framework-Assessment/tree/main/components/actions/055.md" TargetMode="External"/><Relationship Id="rId98" Type="http://schemas.openxmlformats.org/officeDocument/2006/relationships/hyperlink" Target="https://github.com/FinOpsPP/Framework-Assessment/tree/main/components/actions/056.md" TargetMode="External"/><Relationship Id="rId99" Type="http://schemas.openxmlformats.org/officeDocument/2006/relationships/hyperlink" Target="https://github.com/FinOpsPP/Framework-Assessment/tree/main/components/actions/057.md" TargetMode="External"/><Relationship Id="rId100" Type="http://schemas.openxmlformats.org/officeDocument/2006/relationships/hyperlink" Target="https://github.com/FinOpsPP/Framework-Assessment/tree/main/components/actions/058.md" TargetMode="External"/><Relationship Id="rId101" Type="http://schemas.openxmlformats.org/officeDocument/2006/relationships/hyperlink" Target="https://github.com/FinOpsPP/Framework-Assessment/tree/main/components/actions/059.md" TargetMode="External"/><Relationship Id="rId102" Type="http://schemas.openxmlformats.org/officeDocument/2006/relationships/hyperlink" Target="https://github.com/FinOpsPP/Framework-Assessment/tree/main/components/actions/060.md" TargetMode="External"/><Relationship Id="rId103" Type="http://schemas.openxmlformats.org/officeDocument/2006/relationships/hyperlink" Target="https://github.com/FinOpsPP/Framework-Assessment/tree/main/components/actions/105.md" TargetMode="External"/></Relationships>
</file>

<file path=xl/worksheets/sheet1.xml><?xml version="1.0" encoding="utf-8"?>
<worksheet xmlns="http://schemas.openxmlformats.org/spreadsheetml/2006/main" xmlns:r="http://schemas.openxmlformats.org/officeDocument/2006/relationships">
  <dimension ref="A1:U33"/>
  <sheetViews>
    <sheetView tabSelected="1" workbookViewId="0"/>
  </sheetViews>
  <sheetFormatPr defaultRowHeight="15" zeroHeight="1"/>
  <cols>
    <col min="1" max="1" width="32.42578125" bestFit="1" customWidth="1"/>
    <col min="2" max="2" width="23" bestFit="1" customWidth="1"/>
    <col min="3" max="3" width="32.42578125" bestFit="1" customWidth="1"/>
    <col min="4" max="4" width="29.7109375" bestFit="1" customWidth="1"/>
    <col min="6" max="16384" width="0" hidden="1" customWidth="1"/>
  </cols>
  <sheetData>
    <row r="1" spans="1:21">
      <c r="A1" t="s">
        <v>0</v>
      </c>
      <c r="B1" t="s">
        <v>1</v>
      </c>
      <c r="C1" t="s">
        <v>2</v>
      </c>
      <c r="D1" t="s">
        <v>3</v>
      </c>
    </row>
    <row r="2" spans="1:21">
      <c r="A2">
        <f>SUM(Scoring!F2:F104)</f>
        <v>0</v>
      </c>
      <c r="B2">
        <v>10</v>
      </c>
      <c r="C2">
        <f>SUM(Scoring!I2:I104)/A2</f>
        <v>0</v>
      </c>
      <c r="D2">
        <f>B2-C2</f>
        <v>0</v>
      </c>
    </row>
    <row r="3" spans="1:21"/>
    <row r="4" spans="1:21">
      <c r="A4" t="s">
        <v>4</v>
      </c>
      <c r="B4" t="s">
        <v>5</v>
      </c>
    </row>
    <row r="5" spans="1:21">
      <c r="A5" t="s">
        <v>6</v>
      </c>
      <c r="B5">
        <v>1</v>
      </c>
      <c r="U5">
        <f>SUMIF(Scoring!J2:J104,A5,Scoring!I2:I104)/SUMIF(Scoring!J2:J104,A5,Scoring!F2:F104)</f>
        <v>0</v>
      </c>
    </row>
    <row r="6" spans="1:21">
      <c r="A6" t="s">
        <v>7</v>
      </c>
      <c r="B6">
        <v>32</v>
      </c>
      <c r="U6">
        <f>SUMIF(Scoring!J2:J104,A6,Scoring!I2:I104)/SUMIF(Scoring!J2:J104,A6,Scoring!F2:F104)</f>
        <v>0</v>
      </c>
    </row>
    <row r="7" spans="1:21">
      <c r="A7" t="s">
        <v>8</v>
      </c>
      <c r="B7">
        <v>25</v>
      </c>
      <c r="U7">
        <f>SUMIF(Scoring!J2:J104,A7,Scoring!I2:I104)/SUMIF(Scoring!J2:J104,A7,Scoring!F2:F104)</f>
        <v>0</v>
      </c>
    </row>
    <row r="8" spans="1:21">
      <c r="A8" t="s">
        <v>9</v>
      </c>
      <c r="B8">
        <v>45</v>
      </c>
      <c r="U8">
        <f>SUMIF(Scoring!J2:J104,A8,Scoring!I2:I104)/SUMIF(Scoring!J2:J104,A8,Scoring!F2:F104)</f>
        <v>0</v>
      </c>
    </row>
    <row r="9" spans="1:21">
      <c r="B9">
        <f>SUM(Overview!$B$5:$B$8)</f>
        <v>0</v>
      </c>
    </row>
    <row r="11" spans="1:21">
      <c r="A11" t="s">
        <v>10</v>
      </c>
      <c r="B11" t="s">
        <v>5</v>
      </c>
    </row>
    <row r="12" spans="1:21">
      <c r="A12" t="s">
        <v>11</v>
      </c>
      <c r="B12">
        <v>6</v>
      </c>
      <c r="U12">
        <f>SUMIF(Scoring!K2:K104,A12,Scoring!I2:I104)/SUMIF(Scoring!K2:K104,A12,Scoring!F2:F104)</f>
        <v>0</v>
      </c>
    </row>
    <row r="13" spans="1:21">
      <c r="A13" t="s">
        <v>12</v>
      </c>
      <c r="B13">
        <v>4</v>
      </c>
      <c r="U13">
        <f>SUMIF(Scoring!K2:K104,A13,Scoring!I2:I104)/SUMIF(Scoring!K2:K104,A13,Scoring!F2:F104)</f>
        <v>0</v>
      </c>
    </row>
    <row r="14" spans="1:21">
      <c r="A14" t="s">
        <v>13</v>
      </c>
      <c r="B14">
        <v>9</v>
      </c>
      <c r="U14">
        <f>SUMIF(Scoring!K2:K104,A14,Scoring!I2:I104)/SUMIF(Scoring!K2:K104,A14,Scoring!F2:F104)</f>
        <v>0</v>
      </c>
    </row>
    <row r="15" spans="1:21">
      <c r="A15" t="s">
        <v>14</v>
      </c>
      <c r="B15">
        <v>4</v>
      </c>
      <c r="U15">
        <f>SUMIF(Scoring!K2:K104,A15,Scoring!I2:I104)/SUMIF(Scoring!K2:K104,A15,Scoring!F2:F104)</f>
        <v>0</v>
      </c>
    </row>
    <row r="16" spans="1:21">
      <c r="A16" t="s">
        <v>15</v>
      </c>
      <c r="B16">
        <v>6</v>
      </c>
      <c r="U16">
        <f>SUMIF(Scoring!K2:K104,A16,Scoring!I2:I104)/SUMIF(Scoring!K2:K104,A16,Scoring!F2:F104)</f>
        <v>0</v>
      </c>
    </row>
    <row r="17" spans="1:21">
      <c r="A17" t="s">
        <v>16</v>
      </c>
      <c r="B17">
        <v>4</v>
      </c>
      <c r="U17">
        <f>SUMIF(Scoring!K2:K104,A17,Scoring!I2:I104)/SUMIF(Scoring!K2:K104,A17,Scoring!F2:F104)</f>
        <v>0</v>
      </c>
    </row>
    <row r="18" spans="1:21">
      <c r="A18" t="s">
        <v>17</v>
      </c>
      <c r="B18">
        <v>1</v>
      </c>
      <c r="U18">
        <f>SUMIF(Scoring!K2:K104,A18,Scoring!I2:I104)/SUMIF(Scoring!K2:K104,A18,Scoring!F2:F104)</f>
        <v>0</v>
      </c>
    </row>
    <row r="19" spans="1:21">
      <c r="A19" t="s">
        <v>18</v>
      </c>
      <c r="B19">
        <v>4</v>
      </c>
      <c r="U19">
        <f>SUMIF(Scoring!K2:K104,A19,Scoring!I2:I104)/SUMIF(Scoring!K2:K104,A19,Scoring!F2:F104)</f>
        <v>0</v>
      </c>
    </row>
    <row r="20" spans="1:21">
      <c r="A20" t="s">
        <v>19</v>
      </c>
      <c r="B20">
        <v>5</v>
      </c>
      <c r="U20">
        <f>SUMIF(Scoring!K2:K104,A20,Scoring!I2:I104)/SUMIF(Scoring!K2:K104,A20,Scoring!F2:F104)</f>
        <v>0</v>
      </c>
    </row>
    <row r="21" spans="1:21">
      <c r="A21" t="s">
        <v>20</v>
      </c>
      <c r="B21">
        <v>6</v>
      </c>
      <c r="U21">
        <f>SUMIF(Scoring!K2:K104,A21,Scoring!I2:I104)/SUMIF(Scoring!K2:K104,A21,Scoring!F2:F104)</f>
        <v>0</v>
      </c>
    </row>
    <row r="22" spans="1:21">
      <c r="A22" t="s">
        <v>21</v>
      </c>
      <c r="B22">
        <v>5</v>
      </c>
      <c r="U22">
        <f>SUMIF(Scoring!K2:K104,A22,Scoring!I2:I104)/SUMIF(Scoring!K2:K104,A22,Scoring!F2:F104)</f>
        <v>0</v>
      </c>
    </row>
    <row r="23" spans="1:21">
      <c r="A23" t="s">
        <v>22</v>
      </c>
      <c r="B23">
        <v>6</v>
      </c>
      <c r="U23">
        <f>SUMIF(Scoring!K2:K104,A23,Scoring!I2:I104)/SUMIF(Scoring!K2:K104,A23,Scoring!F2:F104)</f>
        <v>0</v>
      </c>
    </row>
    <row r="24" spans="1:21">
      <c r="A24" t="s">
        <v>23</v>
      </c>
      <c r="B24">
        <v>6</v>
      </c>
      <c r="U24">
        <f>SUMIF(Scoring!K2:K104,A24,Scoring!I2:I104)/SUMIF(Scoring!K2:K104,A24,Scoring!F2:F104)</f>
        <v>0</v>
      </c>
    </row>
    <row r="25" spans="1:21">
      <c r="A25" t="s">
        <v>24</v>
      </c>
      <c r="B25">
        <v>1</v>
      </c>
      <c r="U25">
        <f>SUMIF(Scoring!K2:K104,A25,Scoring!I2:I104)/SUMIF(Scoring!K2:K104,A25,Scoring!F2:F104)</f>
        <v>0</v>
      </c>
    </row>
    <row r="26" spans="1:21">
      <c r="A26" t="s">
        <v>25</v>
      </c>
      <c r="B26">
        <v>6</v>
      </c>
      <c r="U26">
        <f>SUMIF(Scoring!K2:K104,A26,Scoring!I2:I104)/SUMIF(Scoring!K2:K104,A26,Scoring!F2:F104)</f>
        <v>0</v>
      </c>
    </row>
    <row r="27" spans="1:21">
      <c r="A27" t="s">
        <v>26</v>
      </c>
      <c r="B27">
        <v>7</v>
      </c>
      <c r="U27">
        <f>SUMIF(Scoring!K2:K104,A27,Scoring!I2:I104)/SUMIF(Scoring!K2:K104,A27,Scoring!F2:F104)</f>
        <v>0</v>
      </c>
    </row>
    <row r="28" spans="1:21">
      <c r="A28" t="s">
        <v>27</v>
      </c>
      <c r="B28">
        <v>1</v>
      </c>
      <c r="U28">
        <f>SUMIF(Scoring!K2:K104,A28,Scoring!I2:I104)/SUMIF(Scoring!K2:K104,A28,Scoring!F2:F104)</f>
        <v>0</v>
      </c>
    </row>
    <row r="29" spans="1:21">
      <c r="A29" t="s">
        <v>28</v>
      </c>
      <c r="B29">
        <v>3</v>
      </c>
      <c r="U29">
        <f>SUMIF(Scoring!K2:K104,A29,Scoring!I2:I104)/SUMIF(Scoring!K2:K104,A29,Scoring!F2:F104)</f>
        <v>0</v>
      </c>
    </row>
    <row r="30" spans="1:21">
      <c r="A30" t="s">
        <v>29</v>
      </c>
      <c r="B30">
        <v>7</v>
      </c>
      <c r="U30">
        <f>SUMIF(Scoring!K2:K104,A30,Scoring!I2:I104)/SUMIF(Scoring!K2:K104,A30,Scoring!F2:F104)</f>
        <v>0</v>
      </c>
    </row>
    <row r="31" spans="1:21">
      <c r="A31" t="s">
        <v>30</v>
      </c>
      <c r="B31">
        <v>6</v>
      </c>
      <c r="U31">
        <f>SUMIF(Scoring!K2:K104,A31,Scoring!I2:I104)/SUMIF(Scoring!K2:K104,A31,Scoring!F2:F104)</f>
        <v>0</v>
      </c>
    </row>
    <row r="32" spans="1:21">
      <c r="A32" t="s">
        <v>31</v>
      </c>
      <c r="B32">
        <v>6</v>
      </c>
      <c r="U32">
        <f>SUMIF(Scoring!K2:K104,A32,Scoring!I2:I104)/SUMIF(Scoring!K2:K104,A32,Scoring!F2:F104)</f>
        <v>0</v>
      </c>
    </row>
    <row r="33" spans="2:2">
      <c r="B33">
        <f>SUM(Overview!$B$12:$B$32)</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104"/>
  <sheetViews>
    <sheetView workbookViewId="0"/>
  </sheetViews>
  <sheetFormatPr defaultRowHeight="15" zeroHeight="1"/>
  <cols>
    <col min="1" max="1" width="25.42578125" bestFit="1" customWidth="1"/>
    <col min="2" max="2" width="32.42578125" bestFit="1" customWidth="1"/>
    <col min="3" max="3" width="52.140625" bestFit="1" customWidth="1"/>
    <col min="4" max="4" width="13.28515625" bestFit="1" customWidth="1"/>
    <col min="5" max="5" width="7.5703125" bestFit="1" customWidth="1"/>
    <col min="6" max="6" width="8" bestFit="1" customWidth="1"/>
    <col min="7" max="8" width="40.7109375" style="1" customWidth="1"/>
    <col min="9" max="9" width="14.5703125" bestFit="1" customWidth="1"/>
    <col min="10" max="10" width="25.42578125" hidden="1" bestFit="1" customWidth="1"/>
    <col min="11" max="11" width="32.42578125" hidden="1" bestFit="1" customWidth="1"/>
    <col min="12" max="16384" width="0" hidden="1" customWidth="1"/>
  </cols>
  <sheetData>
    <row r="1" spans="1:11">
      <c r="A1" s="2" t="s">
        <v>40</v>
      </c>
      <c r="B1" s="2" t="s">
        <v>41</v>
      </c>
      <c r="C1" s="2" t="s">
        <v>42</v>
      </c>
      <c r="D1" s="2" t="s">
        <v>32</v>
      </c>
      <c r="E1" s="2" t="s">
        <v>33</v>
      </c>
      <c r="F1" s="2" t="s">
        <v>34</v>
      </c>
      <c r="G1" s="2" t="s">
        <v>35</v>
      </c>
      <c r="H1" s="2" t="s">
        <v>36</v>
      </c>
      <c r="I1" s="2" t="s">
        <v>37</v>
      </c>
      <c r="J1" s="2" t="s">
        <v>38</v>
      </c>
      <c r="K1" s="2" t="s">
        <v>39</v>
      </c>
    </row>
    <row r="2" spans="1:11">
      <c r="A2" s="2" t="s">
        <v>7</v>
      </c>
      <c r="B2" s="2" t="s">
        <v>18</v>
      </c>
      <c r="C2" s="2" t="s">
        <v>43</v>
      </c>
      <c r="D2" s="3" t="s">
        <v>146</v>
      </c>
      <c r="E2" t="s">
        <v>249</v>
      </c>
      <c r="F2">
        <v>1</v>
      </c>
      <c r="G2" s="1" t="s">
        <v>254</v>
      </c>
      <c r="H2" s="1" t="s">
        <v>332</v>
      </c>
      <c r="I2">
        <f>F2*VALUE(LEFT(H2, FIND(":", H2)-1))</f>
        <v>0</v>
      </c>
      <c r="J2" t="s">
        <v>7</v>
      </c>
      <c r="K2" t="s">
        <v>18</v>
      </c>
    </row>
    <row r="3" spans="1:11">
      <c r="A3" s="2"/>
      <c r="B3" s="2"/>
      <c r="C3" s="2" t="s">
        <v>44</v>
      </c>
      <c r="D3" s="3" t="s">
        <v>147</v>
      </c>
      <c r="E3" t="s">
        <v>249</v>
      </c>
      <c r="F3">
        <v>1</v>
      </c>
      <c r="G3" s="1" t="s">
        <v>255</v>
      </c>
      <c r="H3" s="1" t="s">
        <v>333</v>
      </c>
      <c r="I3">
        <f>F3*VALUE(LEFT(H3, FIND(":", H3)-1))</f>
        <v>0</v>
      </c>
      <c r="J3" t="s">
        <v>7</v>
      </c>
      <c r="K3" t="s">
        <v>18</v>
      </c>
    </row>
    <row r="4" spans="1:11">
      <c r="A4" s="2"/>
      <c r="B4" s="2"/>
      <c r="C4" s="2" t="s">
        <v>45</v>
      </c>
      <c r="D4" s="3" t="s">
        <v>148</v>
      </c>
      <c r="E4" t="s">
        <v>249</v>
      </c>
      <c r="F4">
        <v>1</v>
      </c>
      <c r="G4" s="1" t="s">
        <v>256</v>
      </c>
      <c r="H4" s="1" t="s">
        <v>333</v>
      </c>
      <c r="I4">
        <f>F4*VALUE(LEFT(H4, FIND(":", H4)-1))</f>
        <v>0</v>
      </c>
      <c r="J4" t="s">
        <v>7</v>
      </c>
      <c r="K4" t="s">
        <v>18</v>
      </c>
    </row>
    <row r="5" spans="1:11">
      <c r="A5" s="2"/>
      <c r="B5" s="2"/>
      <c r="C5" s="2" t="s">
        <v>46</v>
      </c>
      <c r="D5" s="3" t="s">
        <v>149</v>
      </c>
      <c r="E5" t="s">
        <v>249</v>
      </c>
      <c r="F5">
        <v>1</v>
      </c>
      <c r="G5" s="1" t="s">
        <v>257</v>
      </c>
      <c r="H5" s="1" t="s">
        <v>333</v>
      </c>
      <c r="I5">
        <f>F5*VALUE(LEFT(H5, FIND(":", H5)-1))</f>
        <v>0</v>
      </c>
      <c r="J5" t="s">
        <v>7</v>
      </c>
      <c r="K5" t="s">
        <v>18</v>
      </c>
    </row>
    <row r="6" spans="1:11">
      <c r="A6" s="2"/>
      <c r="B6" s="2" t="s">
        <v>19</v>
      </c>
      <c r="C6" s="2" t="s">
        <v>47</v>
      </c>
      <c r="D6" s="3" t="s">
        <v>150</v>
      </c>
      <c r="E6" t="s">
        <v>250</v>
      </c>
      <c r="F6">
        <v>1</v>
      </c>
      <c r="H6" s="1" t="s">
        <v>334</v>
      </c>
      <c r="I6">
        <f>F6*VALUE(LEFT(H6, FIND(":", H6)-1))</f>
        <v>0</v>
      </c>
      <c r="J6" t="s">
        <v>7</v>
      </c>
      <c r="K6" t="s">
        <v>19</v>
      </c>
    </row>
    <row r="7" spans="1:11">
      <c r="A7" s="2"/>
      <c r="B7" s="2"/>
      <c r="C7" s="2" t="s">
        <v>48</v>
      </c>
      <c r="D7" s="3" t="s">
        <v>151</v>
      </c>
      <c r="E7" t="s">
        <v>250</v>
      </c>
      <c r="F7">
        <v>1</v>
      </c>
      <c r="H7" s="1" t="s">
        <v>334</v>
      </c>
      <c r="I7">
        <f>F7*VALUE(LEFT(H7, FIND(":", H7)-1))</f>
        <v>0</v>
      </c>
      <c r="J7" t="s">
        <v>7</v>
      </c>
      <c r="K7" t="s">
        <v>19</v>
      </c>
    </row>
    <row r="8" spans="1:11">
      <c r="A8" s="2"/>
      <c r="B8" s="2"/>
      <c r="C8" s="2" t="s">
        <v>49</v>
      </c>
      <c r="D8" s="3" t="s">
        <v>152</v>
      </c>
      <c r="E8" t="s">
        <v>250</v>
      </c>
      <c r="F8">
        <v>1</v>
      </c>
      <c r="H8" s="1" t="s">
        <v>334</v>
      </c>
      <c r="I8">
        <f>F8*VALUE(LEFT(H8, FIND(":", H8)-1))</f>
        <v>0</v>
      </c>
      <c r="J8" t="s">
        <v>7</v>
      </c>
      <c r="K8" t="s">
        <v>19</v>
      </c>
    </row>
    <row r="9" spans="1:11">
      <c r="A9" s="2"/>
      <c r="B9" s="2"/>
      <c r="C9" s="2" t="s">
        <v>50</v>
      </c>
      <c r="D9" s="3" t="s">
        <v>153</v>
      </c>
      <c r="E9" t="s">
        <v>251</v>
      </c>
      <c r="F9">
        <v>1</v>
      </c>
      <c r="G9" s="1" t="s">
        <v>258</v>
      </c>
      <c r="H9" s="1" t="s">
        <v>333</v>
      </c>
      <c r="I9">
        <f>F9*VALUE(LEFT(H9, FIND(":", H9)-1))</f>
        <v>0</v>
      </c>
      <c r="J9" t="s">
        <v>7</v>
      </c>
      <c r="K9" t="s">
        <v>19</v>
      </c>
    </row>
    <row r="10" spans="1:11">
      <c r="A10" s="2"/>
      <c r="B10" s="2"/>
      <c r="C10" s="2" t="s">
        <v>51</v>
      </c>
      <c r="D10" s="3" t="s">
        <v>154</v>
      </c>
      <c r="E10" t="s">
        <v>250</v>
      </c>
      <c r="F10">
        <v>1</v>
      </c>
      <c r="H10" s="1" t="s">
        <v>334</v>
      </c>
      <c r="I10">
        <f>F10*VALUE(LEFT(H10, FIND(":", H10)-1))</f>
        <v>0</v>
      </c>
      <c r="J10" t="s">
        <v>7</v>
      </c>
      <c r="K10" t="s">
        <v>19</v>
      </c>
    </row>
    <row r="11" spans="1:11">
      <c r="A11" s="2"/>
      <c r="B11" s="2" t="s">
        <v>20</v>
      </c>
      <c r="C11" s="2" t="s">
        <v>52</v>
      </c>
      <c r="D11" s="3" t="s">
        <v>155</v>
      </c>
      <c r="E11" t="s">
        <v>251</v>
      </c>
      <c r="F11">
        <v>1</v>
      </c>
      <c r="H11" s="1" t="s">
        <v>334</v>
      </c>
      <c r="I11">
        <f>F11*VALUE(LEFT(H11, FIND(":", H11)-1))</f>
        <v>0</v>
      </c>
      <c r="J11" t="s">
        <v>7</v>
      </c>
      <c r="K11" t="s">
        <v>20</v>
      </c>
    </row>
    <row r="12" spans="1:11">
      <c r="A12" s="2"/>
      <c r="B12" s="2"/>
      <c r="C12" s="2" t="s">
        <v>53</v>
      </c>
      <c r="D12" s="3" t="s">
        <v>156</v>
      </c>
      <c r="E12" t="s">
        <v>250</v>
      </c>
      <c r="F12">
        <v>1</v>
      </c>
      <c r="H12" s="1" t="s">
        <v>334</v>
      </c>
      <c r="I12">
        <f>F12*VALUE(LEFT(H12, FIND(":", H12)-1))</f>
        <v>0</v>
      </c>
      <c r="J12" t="s">
        <v>7</v>
      </c>
      <c r="K12" t="s">
        <v>20</v>
      </c>
    </row>
    <row r="13" spans="1:11">
      <c r="A13" s="2"/>
      <c r="B13" s="2"/>
      <c r="C13" s="2" t="s">
        <v>54</v>
      </c>
      <c r="D13" s="3" t="s">
        <v>157</v>
      </c>
      <c r="E13" t="s">
        <v>250</v>
      </c>
      <c r="F13">
        <v>1</v>
      </c>
      <c r="H13" s="1" t="s">
        <v>334</v>
      </c>
      <c r="I13">
        <f>F13*VALUE(LEFT(H13, FIND(":", H13)-1))</f>
        <v>0</v>
      </c>
      <c r="J13" t="s">
        <v>7</v>
      </c>
      <c r="K13" t="s">
        <v>20</v>
      </c>
    </row>
    <row r="14" spans="1:11">
      <c r="A14" s="2"/>
      <c r="B14" s="2"/>
      <c r="C14" s="2" t="s">
        <v>55</v>
      </c>
      <c r="D14" s="3" t="s">
        <v>158</v>
      </c>
      <c r="E14" t="s">
        <v>250</v>
      </c>
      <c r="F14">
        <v>1</v>
      </c>
      <c r="H14" s="1" t="s">
        <v>334</v>
      </c>
      <c r="I14">
        <f>F14*VALUE(LEFT(H14, FIND(":", H14)-1))</f>
        <v>0</v>
      </c>
      <c r="J14" t="s">
        <v>7</v>
      </c>
      <c r="K14" t="s">
        <v>20</v>
      </c>
    </row>
    <row r="15" spans="1:11">
      <c r="A15" s="2"/>
      <c r="B15" s="2"/>
      <c r="C15" s="2" t="s">
        <v>56</v>
      </c>
      <c r="D15" s="3" t="s">
        <v>159</v>
      </c>
      <c r="E15" t="s">
        <v>250</v>
      </c>
      <c r="F15">
        <v>1</v>
      </c>
      <c r="H15" s="1" t="s">
        <v>334</v>
      </c>
      <c r="I15">
        <f>F15*VALUE(LEFT(H15, FIND(":", H15)-1))</f>
        <v>0</v>
      </c>
      <c r="J15" t="s">
        <v>7</v>
      </c>
      <c r="K15" t="s">
        <v>20</v>
      </c>
    </row>
    <row r="16" spans="1:11">
      <c r="A16" s="2"/>
      <c r="B16" s="2"/>
      <c r="C16" s="2" t="s">
        <v>57</v>
      </c>
      <c r="D16" s="3" t="s">
        <v>160</v>
      </c>
      <c r="E16" t="s">
        <v>250</v>
      </c>
      <c r="F16">
        <v>1</v>
      </c>
      <c r="H16" s="1" t="s">
        <v>334</v>
      </c>
      <c r="I16">
        <f>F16*VALUE(LEFT(H16, FIND(":", H16)-1))</f>
        <v>0</v>
      </c>
      <c r="J16" t="s">
        <v>7</v>
      </c>
      <c r="K16" t="s">
        <v>20</v>
      </c>
    </row>
    <row r="17" spans="1:11">
      <c r="A17" s="2"/>
      <c r="B17" s="2" t="s">
        <v>14</v>
      </c>
      <c r="C17" s="2" t="s">
        <v>58</v>
      </c>
      <c r="D17" s="3" t="s">
        <v>161</v>
      </c>
      <c r="E17" t="s">
        <v>250</v>
      </c>
      <c r="F17">
        <v>1</v>
      </c>
      <c r="G17" s="1" t="s">
        <v>259</v>
      </c>
      <c r="H17" s="1" t="s">
        <v>335</v>
      </c>
      <c r="I17">
        <f>F17*VALUE(LEFT(H17, FIND(":", H17)-1))</f>
        <v>0</v>
      </c>
      <c r="J17" t="s">
        <v>7</v>
      </c>
      <c r="K17" t="s">
        <v>14</v>
      </c>
    </row>
    <row r="18" spans="1:11">
      <c r="A18" s="2"/>
      <c r="B18" s="2"/>
      <c r="C18" s="2" t="s">
        <v>59</v>
      </c>
      <c r="D18" s="3" t="s">
        <v>162</v>
      </c>
      <c r="E18" t="s">
        <v>252</v>
      </c>
      <c r="F18">
        <v>1</v>
      </c>
      <c r="G18" s="1" t="s">
        <v>260</v>
      </c>
      <c r="H18" s="1" t="s">
        <v>336</v>
      </c>
      <c r="I18">
        <f>F18*VALUE(LEFT(H18, FIND(":", H18)-1))</f>
        <v>0</v>
      </c>
      <c r="J18" t="s">
        <v>7</v>
      </c>
      <c r="K18" t="s">
        <v>14</v>
      </c>
    </row>
    <row r="19" spans="1:11">
      <c r="A19" s="2"/>
      <c r="B19" s="2"/>
      <c r="C19" s="2" t="s">
        <v>60</v>
      </c>
      <c r="D19" s="3" t="s">
        <v>163</v>
      </c>
      <c r="E19" t="s">
        <v>249</v>
      </c>
      <c r="F19">
        <v>1</v>
      </c>
      <c r="G19" s="1" t="s">
        <v>261</v>
      </c>
      <c r="H19" s="1" t="s">
        <v>337</v>
      </c>
      <c r="I19">
        <f>F19*VALUE(LEFT(H19, FIND(":", H19)-1))</f>
        <v>0</v>
      </c>
      <c r="J19" t="s">
        <v>7</v>
      </c>
      <c r="K19" t="s">
        <v>14</v>
      </c>
    </row>
    <row r="20" spans="1:11">
      <c r="A20" s="2"/>
      <c r="B20" s="2"/>
      <c r="C20" s="2" t="s">
        <v>61</v>
      </c>
      <c r="D20" s="3" t="s">
        <v>164</v>
      </c>
      <c r="E20" t="s">
        <v>251</v>
      </c>
      <c r="F20">
        <v>1</v>
      </c>
      <c r="G20" s="1" t="s">
        <v>262</v>
      </c>
      <c r="H20" s="1" t="s">
        <v>333</v>
      </c>
      <c r="I20">
        <f>F20*VALUE(LEFT(H20, FIND(":", H20)-1))</f>
        <v>0</v>
      </c>
      <c r="J20" t="s">
        <v>7</v>
      </c>
      <c r="K20" t="s">
        <v>14</v>
      </c>
    </row>
    <row r="21" spans="1:11">
      <c r="A21" s="2"/>
      <c r="B21" s="2" t="s">
        <v>22</v>
      </c>
      <c r="C21" s="2" t="s">
        <v>62</v>
      </c>
      <c r="D21" s="3" t="s">
        <v>165</v>
      </c>
      <c r="E21" t="s">
        <v>249</v>
      </c>
      <c r="F21">
        <v>1</v>
      </c>
      <c r="G21" s="1" t="s">
        <v>263</v>
      </c>
      <c r="H21" s="1" t="s">
        <v>333</v>
      </c>
      <c r="I21">
        <f>F21*VALUE(LEFT(H21, FIND(":", H21)-1))</f>
        <v>0</v>
      </c>
      <c r="J21" t="s">
        <v>7</v>
      </c>
      <c r="K21" t="s">
        <v>22</v>
      </c>
    </row>
    <row r="22" spans="1:11">
      <c r="A22" s="2"/>
      <c r="B22" s="2"/>
      <c r="C22" s="2" t="s">
        <v>63</v>
      </c>
      <c r="D22" s="3" t="s">
        <v>166</v>
      </c>
      <c r="E22" t="s">
        <v>249</v>
      </c>
      <c r="F22">
        <v>1</v>
      </c>
      <c r="G22" s="1" t="s">
        <v>264</v>
      </c>
      <c r="H22" s="1" t="s">
        <v>333</v>
      </c>
      <c r="I22">
        <f>F22*VALUE(LEFT(H22, FIND(":", H22)-1))</f>
        <v>0</v>
      </c>
      <c r="J22" t="s">
        <v>7</v>
      </c>
      <c r="K22" t="s">
        <v>22</v>
      </c>
    </row>
    <row r="23" spans="1:11">
      <c r="A23" s="2"/>
      <c r="B23" s="2"/>
      <c r="C23" s="2" t="s">
        <v>64</v>
      </c>
      <c r="D23" s="3" t="s">
        <v>167</v>
      </c>
      <c r="E23" t="s">
        <v>249</v>
      </c>
      <c r="F23">
        <v>1</v>
      </c>
      <c r="G23" s="1" t="s">
        <v>265</v>
      </c>
      <c r="H23" s="1" t="s">
        <v>333</v>
      </c>
      <c r="I23">
        <f>F23*VALUE(LEFT(H23, FIND(":", H23)-1))</f>
        <v>0</v>
      </c>
      <c r="J23" t="s">
        <v>7</v>
      </c>
      <c r="K23" t="s">
        <v>22</v>
      </c>
    </row>
    <row r="24" spans="1:11">
      <c r="A24" s="2"/>
      <c r="B24" s="2"/>
      <c r="C24" s="2" t="s">
        <v>65</v>
      </c>
      <c r="D24" s="3" t="s">
        <v>168</v>
      </c>
      <c r="E24" t="s">
        <v>249</v>
      </c>
      <c r="F24">
        <v>1</v>
      </c>
      <c r="G24" s="1" t="s">
        <v>266</v>
      </c>
      <c r="H24" s="1" t="s">
        <v>333</v>
      </c>
      <c r="I24">
        <f>F24*VALUE(LEFT(H24, FIND(":", H24)-1))</f>
        <v>0</v>
      </c>
      <c r="J24" t="s">
        <v>7</v>
      </c>
      <c r="K24" t="s">
        <v>22</v>
      </c>
    </row>
    <row r="25" spans="1:11">
      <c r="A25" s="2"/>
      <c r="B25" s="2"/>
      <c r="C25" s="2" t="s">
        <v>66</v>
      </c>
      <c r="D25" s="3" t="s">
        <v>169</v>
      </c>
      <c r="E25" t="s">
        <v>249</v>
      </c>
      <c r="F25">
        <v>1</v>
      </c>
      <c r="G25" s="1" t="s">
        <v>267</v>
      </c>
      <c r="H25" s="1" t="s">
        <v>333</v>
      </c>
      <c r="I25">
        <f>F25*VALUE(LEFT(H25, FIND(":", H25)-1))</f>
        <v>0</v>
      </c>
      <c r="J25" t="s">
        <v>7</v>
      </c>
      <c r="K25" t="s">
        <v>22</v>
      </c>
    </row>
    <row r="26" spans="1:11">
      <c r="A26" s="2"/>
      <c r="B26" s="2"/>
      <c r="C26" s="2" t="s">
        <v>67</v>
      </c>
      <c r="D26" s="3" t="s">
        <v>170</v>
      </c>
      <c r="E26" t="s">
        <v>249</v>
      </c>
      <c r="F26">
        <v>1</v>
      </c>
      <c r="G26" s="1" t="s">
        <v>268</v>
      </c>
      <c r="H26" s="1" t="s">
        <v>333</v>
      </c>
      <c r="I26">
        <f>F26*VALUE(LEFT(H26, FIND(":", H26)-1))</f>
        <v>0</v>
      </c>
      <c r="J26" t="s">
        <v>7</v>
      </c>
      <c r="K26" t="s">
        <v>22</v>
      </c>
    </row>
    <row r="27" spans="1:11">
      <c r="A27" s="2"/>
      <c r="B27" s="2" t="s">
        <v>23</v>
      </c>
      <c r="C27" s="2" t="s">
        <v>68</v>
      </c>
      <c r="D27" s="3" t="s">
        <v>171</v>
      </c>
      <c r="E27" t="s">
        <v>250</v>
      </c>
      <c r="F27">
        <v>1</v>
      </c>
      <c r="H27" s="1" t="s">
        <v>334</v>
      </c>
      <c r="I27">
        <f>F27*VALUE(LEFT(H27, FIND(":", H27)-1))</f>
        <v>0</v>
      </c>
      <c r="J27" t="s">
        <v>7</v>
      </c>
      <c r="K27" t="s">
        <v>23</v>
      </c>
    </row>
    <row r="28" spans="1:11">
      <c r="A28" s="2"/>
      <c r="B28" s="2"/>
      <c r="C28" s="2" t="s">
        <v>69</v>
      </c>
      <c r="D28" s="3" t="s">
        <v>172</v>
      </c>
      <c r="E28" t="s">
        <v>250</v>
      </c>
      <c r="F28">
        <v>1</v>
      </c>
      <c r="H28" s="1" t="s">
        <v>334</v>
      </c>
      <c r="I28">
        <f>F28*VALUE(LEFT(H28, FIND(":", H28)-1))</f>
        <v>0</v>
      </c>
      <c r="J28" t="s">
        <v>7</v>
      </c>
      <c r="K28" t="s">
        <v>23</v>
      </c>
    </row>
    <row r="29" spans="1:11">
      <c r="A29" s="2"/>
      <c r="B29" s="2"/>
      <c r="C29" s="2" t="s">
        <v>70</v>
      </c>
      <c r="D29" s="3" t="s">
        <v>173</v>
      </c>
      <c r="E29" t="s">
        <v>251</v>
      </c>
      <c r="F29">
        <v>1</v>
      </c>
      <c r="H29" s="1" t="s">
        <v>334</v>
      </c>
      <c r="I29">
        <f>F29*VALUE(LEFT(H29, FIND(":", H29)-1))</f>
        <v>0</v>
      </c>
      <c r="J29" t="s">
        <v>7</v>
      </c>
      <c r="K29" t="s">
        <v>23</v>
      </c>
    </row>
    <row r="30" spans="1:11">
      <c r="A30" s="2"/>
      <c r="B30" s="2"/>
      <c r="C30" s="2" t="s">
        <v>71</v>
      </c>
      <c r="D30" s="3" t="s">
        <v>174</v>
      </c>
      <c r="E30" t="s">
        <v>250</v>
      </c>
      <c r="F30">
        <v>1</v>
      </c>
      <c r="H30" s="1" t="s">
        <v>334</v>
      </c>
      <c r="I30">
        <f>F30*VALUE(LEFT(H30, FIND(":", H30)-1))</f>
        <v>0</v>
      </c>
      <c r="J30" t="s">
        <v>7</v>
      </c>
      <c r="K30" t="s">
        <v>23</v>
      </c>
    </row>
    <row r="31" spans="1:11">
      <c r="A31" s="2"/>
      <c r="B31" s="2"/>
      <c r="C31" s="2" t="s">
        <v>72</v>
      </c>
      <c r="D31" s="3" t="s">
        <v>175</v>
      </c>
      <c r="E31" t="s">
        <v>250</v>
      </c>
      <c r="F31">
        <v>1</v>
      </c>
      <c r="H31" s="1" t="s">
        <v>334</v>
      </c>
      <c r="I31">
        <f>F31*VALUE(LEFT(H31, FIND(":", H31)-1))</f>
        <v>0</v>
      </c>
      <c r="J31" t="s">
        <v>7</v>
      </c>
      <c r="K31" t="s">
        <v>23</v>
      </c>
    </row>
    <row r="32" spans="1:11">
      <c r="A32" s="2"/>
      <c r="B32" s="2"/>
      <c r="C32" s="2" t="s">
        <v>73</v>
      </c>
      <c r="D32" s="3" t="s">
        <v>176</v>
      </c>
      <c r="E32" t="s">
        <v>251</v>
      </c>
      <c r="F32">
        <v>1</v>
      </c>
      <c r="H32" s="1" t="s">
        <v>334</v>
      </c>
      <c r="I32">
        <f>F32*VALUE(LEFT(H32, FIND(":", H32)-1))</f>
        <v>0</v>
      </c>
      <c r="J32" t="s">
        <v>7</v>
      </c>
      <c r="K32" t="s">
        <v>23</v>
      </c>
    </row>
    <row r="33" spans="1:11">
      <c r="A33" s="2"/>
      <c r="B33" s="2" t="s">
        <v>17</v>
      </c>
      <c r="C33" s="2" t="s">
        <v>74</v>
      </c>
      <c r="D33" s="3" t="s">
        <v>177</v>
      </c>
      <c r="E33" t="s">
        <v>249</v>
      </c>
      <c r="F33">
        <v>1</v>
      </c>
      <c r="H33" s="1" t="s">
        <v>338</v>
      </c>
      <c r="I33">
        <f>F33*VALUE(LEFT(H33, FIND(":", H33)-1))</f>
        <v>0</v>
      </c>
      <c r="J33" t="s">
        <v>7</v>
      </c>
      <c r="K33" t="s">
        <v>17</v>
      </c>
    </row>
    <row r="34" spans="1:11">
      <c r="A34" s="2" t="s">
        <v>9</v>
      </c>
      <c r="B34" s="2" t="s">
        <v>13</v>
      </c>
      <c r="C34" s="2" t="s">
        <v>75</v>
      </c>
      <c r="D34" s="3" t="s">
        <v>178</v>
      </c>
      <c r="E34" t="s">
        <v>251</v>
      </c>
      <c r="F34">
        <v>1</v>
      </c>
      <c r="H34" s="1" t="s">
        <v>339</v>
      </c>
      <c r="I34">
        <f>F34*VALUE(LEFT(H34, FIND(":", H34)-1))</f>
        <v>0</v>
      </c>
      <c r="J34" t="s">
        <v>9</v>
      </c>
      <c r="K34" t="s">
        <v>13</v>
      </c>
    </row>
    <row r="35" spans="1:11">
      <c r="A35" s="2"/>
      <c r="B35" s="2"/>
      <c r="C35" s="2" t="s">
        <v>76</v>
      </c>
      <c r="D35" s="3" t="s">
        <v>179</v>
      </c>
      <c r="E35" t="s">
        <v>251</v>
      </c>
      <c r="F35">
        <v>1</v>
      </c>
      <c r="G35" s="1" t="s">
        <v>269</v>
      </c>
      <c r="H35" s="1" t="s">
        <v>333</v>
      </c>
      <c r="I35">
        <f>F35*VALUE(LEFT(H35, FIND(":", H35)-1))</f>
        <v>0</v>
      </c>
      <c r="J35" t="s">
        <v>9</v>
      </c>
      <c r="K35" t="s">
        <v>13</v>
      </c>
    </row>
    <row r="36" spans="1:11">
      <c r="A36" s="2"/>
      <c r="B36" s="2"/>
      <c r="C36" s="2" t="s">
        <v>77</v>
      </c>
      <c r="D36" s="3" t="s">
        <v>180</v>
      </c>
      <c r="E36" t="s">
        <v>251</v>
      </c>
      <c r="F36">
        <v>1</v>
      </c>
      <c r="H36" s="1" t="s">
        <v>340</v>
      </c>
      <c r="I36">
        <f>F36*VALUE(LEFT(H36, FIND(":", H36)-1))</f>
        <v>0</v>
      </c>
      <c r="J36" t="s">
        <v>9</v>
      </c>
      <c r="K36" t="s">
        <v>13</v>
      </c>
    </row>
    <row r="37" spans="1:11">
      <c r="A37" s="2"/>
      <c r="B37" s="2"/>
      <c r="C37" s="2" t="s">
        <v>78</v>
      </c>
      <c r="D37" s="3" t="s">
        <v>181</v>
      </c>
      <c r="E37" t="s">
        <v>250</v>
      </c>
      <c r="F37">
        <v>1</v>
      </c>
      <c r="H37" s="1" t="s">
        <v>334</v>
      </c>
      <c r="I37">
        <f>F37*VALUE(LEFT(H37, FIND(":", H37)-1))</f>
        <v>0</v>
      </c>
      <c r="J37" t="s">
        <v>9</v>
      </c>
      <c r="K37" t="s">
        <v>13</v>
      </c>
    </row>
    <row r="38" spans="1:11">
      <c r="A38" s="2"/>
      <c r="B38" s="2"/>
      <c r="C38" s="2" t="s">
        <v>79</v>
      </c>
      <c r="D38" s="3" t="s">
        <v>182</v>
      </c>
      <c r="E38" t="s">
        <v>250</v>
      </c>
      <c r="F38">
        <v>1</v>
      </c>
      <c r="H38" s="1" t="s">
        <v>334</v>
      </c>
      <c r="I38">
        <f>F38*VALUE(LEFT(H38, FIND(":", H38)-1))</f>
        <v>0</v>
      </c>
      <c r="J38" t="s">
        <v>9</v>
      </c>
      <c r="K38" t="s">
        <v>13</v>
      </c>
    </row>
    <row r="39" spans="1:11">
      <c r="A39" s="2"/>
      <c r="B39" s="2"/>
      <c r="C39" s="2" t="s">
        <v>80</v>
      </c>
      <c r="D39" s="3" t="s">
        <v>183</v>
      </c>
      <c r="E39" t="s">
        <v>251</v>
      </c>
      <c r="F39">
        <v>1</v>
      </c>
      <c r="G39" s="1" t="s">
        <v>270</v>
      </c>
      <c r="H39" s="1" t="s">
        <v>333</v>
      </c>
      <c r="I39">
        <f>F39*VALUE(LEFT(H39, FIND(":", H39)-1))</f>
        <v>0</v>
      </c>
      <c r="J39" t="s">
        <v>9</v>
      </c>
      <c r="K39" t="s">
        <v>13</v>
      </c>
    </row>
    <row r="40" spans="1:11">
      <c r="A40" s="2"/>
      <c r="B40" s="2"/>
      <c r="C40" s="2" t="s">
        <v>81</v>
      </c>
      <c r="D40" s="3" t="s">
        <v>184</v>
      </c>
      <c r="E40" t="s">
        <v>250</v>
      </c>
      <c r="F40">
        <v>1</v>
      </c>
      <c r="H40" s="1" t="s">
        <v>334</v>
      </c>
      <c r="I40">
        <f>F40*VALUE(LEFT(H40, FIND(":", H40)-1))</f>
        <v>0</v>
      </c>
      <c r="J40" t="s">
        <v>9</v>
      </c>
      <c r="K40" t="s">
        <v>13</v>
      </c>
    </row>
    <row r="41" spans="1:11">
      <c r="A41" s="2"/>
      <c r="B41" s="2"/>
      <c r="C41" s="2" t="s">
        <v>82</v>
      </c>
      <c r="D41" s="3" t="s">
        <v>185</v>
      </c>
      <c r="E41" t="s">
        <v>250</v>
      </c>
      <c r="F41">
        <v>1</v>
      </c>
      <c r="H41" s="1" t="s">
        <v>334</v>
      </c>
      <c r="I41">
        <f>F41*VALUE(LEFT(H41, FIND(":", H41)-1))</f>
        <v>0</v>
      </c>
      <c r="J41" t="s">
        <v>9</v>
      </c>
      <c r="K41" t="s">
        <v>13</v>
      </c>
    </row>
    <row r="42" spans="1:11">
      <c r="A42" s="2"/>
      <c r="B42" s="2"/>
      <c r="C42" s="2" t="s">
        <v>83</v>
      </c>
      <c r="D42" s="3" t="s">
        <v>186</v>
      </c>
      <c r="E42" t="s">
        <v>250</v>
      </c>
      <c r="F42">
        <v>1</v>
      </c>
      <c r="H42" s="1" t="s">
        <v>334</v>
      </c>
      <c r="I42">
        <f>F42*VALUE(LEFT(H42, FIND(":", H42)-1))</f>
        <v>0</v>
      </c>
      <c r="J42" t="s">
        <v>9</v>
      </c>
      <c r="K42" t="s">
        <v>13</v>
      </c>
    </row>
    <row r="43" spans="1:11">
      <c r="A43" s="2"/>
      <c r="B43" s="2" t="s">
        <v>25</v>
      </c>
      <c r="C43" s="2" t="s">
        <v>84</v>
      </c>
      <c r="D43" s="3" t="s">
        <v>187</v>
      </c>
      <c r="E43" t="s">
        <v>251</v>
      </c>
      <c r="F43">
        <v>1</v>
      </c>
      <c r="H43" s="1" t="s">
        <v>341</v>
      </c>
      <c r="I43">
        <f>F43*VALUE(LEFT(H43, FIND(":", H43)-1))</f>
        <v>0</v>
      </c>
      <c r="J43" t="s">
        <v>9</v>
      </c>
      <c r="K43" t="s">
        <v>25</v>
      </c>
    </row>
    <row r="44" spans="1:11">
      <c r="A44" s="2"/>
      <c r="B44" s="2"/>
      <c r="C44" s="2" t="s">
        <v>85</v>
      </c>
      <c r="D44" s="3" t="s">
        <v>188</v>
      </c>
      <c r="E44" t="s">
        <v>250</v>
      </c>
      <c r="F44">
        <v>1</v>
      </c>
      <c r="H44" s="1" t="s">
        <v>334</v>
      </c>
      <c r="I44">
        <f>F44*VALUE(LEFT(H44, FIND(":", H44)-1))</f>
        <v>0</v>
      </c>
      <c r="J44" t="s">
        <v>9</v>
      </c>
      <c r="K44" t="s">
        <v>25</v>
      </c>
    </row>
    <row r="45" spans="1:11">
      <c r="A45" s="2"/>
      <c r="B45" s="2"/>
      <c r="C45" s="2" t="s">
        <v>86</v>
      </c>
      <c r="D45" s="3" t="s">
        <v>189</v>
      </c>
      <c r="E45" t="s">
        <v>250</v>
      </c>
      <c r="F45">
        <v>1</v>
      </c>
      <c r="H45" s="1" t="s">
        <v>334</v>
      </c>
      <c r="I45">
        <f>F45*VALUE(LEFT(H45, FIND(":", H45)-1))</f>
        <v>0</v>
      </c>
      <c r="J45" t="s">
        <v>9</v>
      </c>
      <c r="K45" t="s">
        <v>25</v>
      </c>
    </row>
    <row r="46" spans="1:11">
      <c r="A46" s="2"/>
      <c r="B46" s="2"/>
      <c r="C46" s="2" t="s">
        <v>87</v>
      </c>
      <c r="D46" s="3" t="s">
        <v>190</v>
      </c>
      <c r="E46" t="s">
        <v>251</v>
      </c>
      <c r="F46">
        <v>1</v>
      </c>
      <c r="H46" s="1" t="s">
        <v>334</v>
      </c>
      <c r="I46">
        <f>F46*VALUE(LEFT(H46, FIND(":", H46)-1))</f>
        <v>0</v>
      </c>
      <c r="J46" t="s">
        <v>9</v>
      </c>
      <c r="K46" t="s">
        <v>25</v>
      </c>
    </row>
    <row r="47" spans="1:11">
      <c r="A47" s="2"/>
      <c r="B47" s="2"/>
      <c r="C47" s="2" t="s">
        <v>88</v>
      </c>
      <c r="D47" s="3" t="s">
        <v>191</v>
      </c>
      <c r="E47" t="s">
        <v>250</v>
      </c>
      <c r="F47">
        <v>1</v>
      </c>
      <c r="H47" s="1" t="s">
        <v>334</v>
      </c>
      <c r="I47">
        <f>F47*VALUE(LEFT(H47, FIND(":", H47)-1))</f>
        <v>0</v>
      </c>
      <c r="J47" t="s">
        <v>9</v>
      </c>
      <c r="K47" t="s">
        <v>25</v>
      </c>
    </row>
    <row r="48" spans="1:11">
      <c r="A48" s="2"/>
      <c r="B48" s="2"/>
      <c r="C48" s="2" t="s">
        <v>89</v>
      </c>
      <c r="D48" s="3" t="s">
        <v>192</v>
      </c>
      <c r="E48" t="s">
        <v>250</v>
      </c>
      <c r="F48">
        <v>1</v>
      </c>
      <c r="H48" s="1" t="s">
        <v>334</v>
      </c>
      <c r="I48">
        <f>F48*VALUE(LEFT(H48, FIND(":", H48)-1))</f>
        <v>0</v>
      </c>
      <c r="J48" t="s">
        <v>9</v>
      </c>
      <c r="K48" t="s">
        <v>25</v>
      </c>
    </row>
    <row r="49" spans="1:11">
      <c r="A49" s="2"/>
      <c r="B49" s="2" t="s">
        <v>28</v>
      </c>
      <c r="C49" s="2" t="s">
        <v>90</v>
      </c>
      <c r="D49" s="3" t="s">
        <v>193</v>
      </c>
      <c r="E49" t="s">
        <v>251</v>
      </c>
      <c r="F49">
        <v>1</v>
      </c>
      <c r="H49" s="1" t="s">
        <v>334</v>
      </c>
      <c r="I49">
        <f>F49*VALUE(LEFT(H49, FIND(":", H49)-1))</f>
        <v>0</v>
      </c>
      <c r="J49" t="s">
        <v>9</v>
      </c>
      <c r="K49" t="s">
        <v>28</v>
      </c>
    </row>
    <row r="50" spans="1:11">
      <c r="A50" s="2"/>
      <c r="B50" s="2"/>
      <c r="C50" s="2" t="s">
        <v>91</v>
      </c>
      <c r="D50" s="3" t="s">
        <v>194</v>
      </c>
      <c r="E50" t="s">
        <v>251</v>
      </c>
      <c r="F50">
        <v>1</v>
      </c>
      <c r="H50" s="1" t="s">
        <v>334</v>
      </c>
      <c r="I50">
        <f>F50*VALUE(LEFT(H50, FIND(":", H50)-1))</f>
        <v>0</v>
      </c>
      <c r="J50" t="s">
        <v>9</v>
      </c>
      <c r="K50" t="s">
        <v>28</v>
      </c>
    </row>
    <row r="51" spans="1:11">
      <c r="A51" s="2"/>
      <c r="B51" s="2"/>
      <c r="C51" s="2" t="s">
        <v>92</v>
      </c>
      <c r="D51" s="3" t="s">
        <v>195</v>
      </c>
      <c r="E51" t="s">
        <v>251</v>
      </c>
      <c r="F51">
        <v>1</v>
      </c>
      <c r="G51" s="1" t="s">
        <v>271</v>
      </c>
      <c r="H51" s="1" t="s">
        <v>333</v>
      </c>
      <c r="I51">
        <f>F51*VALUE(LEFT(H51, FIND(":", H51)-1))</f>
        <v>0</v>
      </c>
      <c r="J51" t="s">
        <v>9</v>
      </c>
      <c r="K51" t="s">
        <v>28</v>
      </c>
    </row>
    <row r="52" spans="1:11">
      <c r="A52" s="2"/>
      <c r="B52" s="2" t="s">
        <v>31</v>
      </c>
      <c r="C52" s="2" t="s">
        <v>93</v>
      </c>
      <c r="D52" s="3" t="s">
        <v>196</v>
      </c>
      <c r="E52" t="s">
        <v>250</v>
      </c>
      <c r="F52">
        <v>1</v>
      </c>
      <c r="H52" s="1" t="s">
        <v>334</v>
      </c>
      <c r="I52">
        <f>F52*VALUE(LEFT(H52, FIND(":", H52)-1))</f>
        <v>0</v>
      </c>
      <c r="J52" t="s">
        <v>9</v>
      </c>
      <c r="K52" t="s">
        <v>31</v>
      </c>
    </row>
    <row r="53" spans="1:11">
      <c r="A53" s="2"/>
      <c r="B53" s="2"/>
      <c r="C53" s="2" t="s">
        <v>94</v>
      </c>
      <c r="D53" s="3" t="s">
        <v>197</v>
      </c>
      <c r="E53" t="s">
        <v>251</v>
      </c>
      <c r="F53">
        <v>1</v>
      </c>
      <c r="H53" s="1" t="s">
        <v>342</v>
      </c>
      <c r="I53">
        <f>F53*VALUE(LEFT(H53, FIND(":", H53)-1))</f>
        <v>0</v>
      </c>
      <c r="J53" t="s">
        <v>9</v>
      </c>
      <c r="K53" t="s">
        <v>31</v>
      </c>
    </row>
    <row r="54" spans="1:11">
      <c r="A54" s="2"/>
      <c r="B54" s="2"/>
      <c r="C54" s="2" t="s">
        <v>95</v>
      </c>
      <c r="D54" s="3" t="s">
        <v>198</v>
      </c>
      <c r="E54" t="s">
        <v>251</v>
      </c>
      <c r="F54">
        <v>1</v>
      </c>
      <c r="H54" s="1" t="s">
        <v>341</v>
      </c>
      <c r="I54">
        <f>F54*VALUE(LEFT(H54, FIND(":", H54)-1))</f>
        <v>0</v>
      </c>
      <c r="J54" t="s">
        <v>9</v>
      </c>
      <c r="K54" t="s">
        <v>31</v>
      </c>
    </row>
    <row r="55" spans="1:11">
      <c r="A55" s="2"/>
      <c r="B55" s="2"/>
      <c r="C55" s="2" t="s">
        <v>96</v>
      </c>
      <c r="D55" s="3" t="s">
        <v>199</v>
      </c>
      <c r="E55" t="s">
        <v>250</v>
      </c>
      <c r="F55">
        <v>1</v>
      </c>
      <c r="H55" s="1" t="s">
        <v>334</v>
      </c>
      <c r="I55">
        <f>F55*VALUE(LEFT(H55, FIND(":", H55)-1))</f>
        <v>0</v>
      </c>
      <c r="J55" t="s">
        <v>9</v>
      </c>
      <c r="K55" t="s">
        <v>31</v>
      </c>
    </row>
    <row r="56" spans="1:11">
      <c r="A56" s="2"/>
      <c r="B56" s="2"/>
      <c r="C56" s="2" t="s">
        <v>97</v>
      </c>
      <c r="D56" s="3" t="s">
        <v>200</v>
      </c>
      <c r="E56" t="s">
        <v>250</v>
      </c>
      <c r="F56">
        <v>1</v>
      </c>
      <c r="H56" s="1" t="s">
        <v>334</v>
      </c>
      <c r="I56">
        <f>F56*VALUE(LEFT(H56, FIND(":", H56)-1))</f>
        <v>0</v>
      </c>
      <c r="J56" t="s">
        <v>9</v>
      </c>
      <c r="K56" t="s">
        <v>31</v>
      </c>
    </row>
    <row r="57" spans="1:11">
      <c r="A57" s="2"/>
      <c r="B57" s="2"/>
      <c r="C57" s="2" t="s">
        <v>98</v>
      </c>
      <c r="D57" s="3" t="s">
        <v>201</v>
      </c>
      <c r="E57" t="s">
        <v>250</v>
      </c>
      <c r="F57">
        <v>1</v>
      </c>
      <c r="H57" s="1" t="s">
        <v>334</v>
      </c>
      <c r="I57">
        <f>F57*VALUE(LEFT(H57, FIND(":", H57)-1))</f>
        <v>0</v>
      </c>
      <c r="J57" t="s">
        <v>9</v>
      </c>
      <c r="K57" t="s">
        <v>31</v>
      </c>
    </row>
    <row r="58" spans="1:11">
      <c r="A58" s="2"/>
      <c r="B58" s="2" t="s">
        <v>11</v>
      </c>
      <c r="C58" s="2" t="s">
        <v>99</v>
      </c>
      <c r="D58" s="3" t="s">
        <v>202</v>
      </c>
      <c r="E58" t="s">
        <v>251</v>
      </c>
      <c r="F58">
        <v>1</v>
      </c>
      <c r="G58" s="1" t="s">
        <v>272</v>
      </c>
      <c r="H58" s="1" t="s">
        <v>333</v>
      </c>
      <c r="I58">
        <f>F58*VALUE(LEFT(H58, FIND(":", H58)-1))</f>
        <v>0</v>
      </c>
      <c r="J58" t="s">
        <v>9</v>
      </c>
      <c r="K58" t="s">
        <v>11</v>
      </c>
    </row>
    <row r="59" spans="1:11">
      <c r="A59" s="2"/>
      <c r="B59" s="2"/>
      <c r="C59" s="2" t="s">
        <v>100</v>
      </c>
      <c r="D59" s="3" t="s">
        <v>203</v>
      </c>
      <c r="E59" t="s">
        <v>251</v>
      </c>
      <c r="F59">
        <v>1</v>
      </c>
      <c r="G59" s="1" t="s">
        <v>273</v>
      </c>
      <c r="H59" s="1" t="s">
        <v>341</v>
      </c>
      <c r="I59">
        <f>F59*VALUE(LEFT(H59, FIND(":", H59)-1))</f>
        <v>0</v>
      </c>
      <c r="J59" t="s">
        <v>9</v>
      </c>
      <c r="K59" t="s">
        <v>11</v>
      </c>
    </row>
    <row r="60" spans="1:11">
      <c r="A60" s="2"/>
      <c r="B60" s="2"/>
      <c r="C60" s="2" t="s">
        <v>101</v>
      </c>
      <c r="D60" s="3" t="s">
        <v>204</v>
      </c>
      <c r="E60" t="s">
        <v>251</v>
      </c>
      <c r="F60">
        <v>1</v>
      </c>
      <c r="G60" s="1" t="s">
        <v>274</v>
      </c>
      <c r="H60" s="1" t="s">
        <v>333</v>
      </c>
      <c r="I60">
        <f>F60*VALUE(LEFT(H60, FIND(":", H60)-1))</f>
        <v>0</v>
      </c>
      <c r="J60" t="s">
        <v>9</v>
      </c>
      <c r="K60" t="s">
        <v>11</v>
      </c>
    </row>
    <row r="61" spans="1:11">
      <c r="A61" s="2"/>
      <c r="B61" s="2"/>
      <c r="C61" s="2" t="s">
        <v>102</v>
      </c>
      <c r="D61" s="3" t="s">
        <v>205</v>
      </c>
      <c r="E61" t="s">
        <v>251</v>
      </c>
      <c r="F61">
        <v>1</v>
      </c>
      <c r="G61" s="1" t="s">
        <v>275</v>
      </c>
      <c r="H61" s="1" t="s">
        <v>341</v>
      </c>
      <c r="I61">
        <f>F61*VALUE(LEFT(H61, FIND(":", H61)-1))</f>
        <v>0</v>
      </c>
      <c r="J61" t="s">
        <v>9</v>
      </c>
      <c r="K61" t="s">
        <v>11</v>
      </c>
    </row>
    <row r="62" spans="1:11">
      <c r="A62" s="2"/>
      <c r="B62" s="2"/>
      <c r="C62" s="2" t="s">
        <v>103</v>
      </c>
      <c r="D62" s="3" t="s">
        <v>206</v>
      </c>
      <c r="E62" t="s">
        <v>251</v>
      </c>
      <c r="F62">
        <v>1</v>
      </c>
      <c r="G62" s="1" t="s">
        <v>276</v>
      </c>
      <c r="H62" s="1" t="s">
        <v>341</v>
      </c>
      <c r="I62">
        <f>F62*VALUE(LEFT(H62, FIND(":", H62)-1))</f>
        <v>0</v>
      </c>
      <c r="J62" t="s">
        <v>9</v>
      </c>
      <c r="K62" t="s">
        <v>11</v>
      </c>
    </row>
    <row r="63" spans="1:11">
      <c r="A63" s="2"/>
      <c r="B63" s="2"/>
      <c r="C63" s="2" t="s">
        <v>104</v>
      </c>
      <c r="D63" s="3" t="s">
        <v>207</v>
      </c>
      <c r="E63" t="s">
        <v>251</v>
      </c>
      <c r="F63">
        <v>1</v>
      </c>
      <c r="G63" s="1" t="s">
        <v>277</v>
      </c>
      <c r="H63" s="1" t="s">
        <v>333</v>
      </c>
      <c r="I63">
        <f>F63*VALUE(LEFT(H63, FIND(":", H63)-1))</f>
        <v>0</v>
      </c>
      <c r="J63" t="s">
        <v>9</v>
      </c>
      <c r="K63" t="s">
        <v>11</v>
      </c>
    </row>
    <row r="64" spans="1:11">
      <c r="A64" s="2"/>
      <c r="B64" s="2" t="s">
        <v>12</v>
      </c>
      <c r="C64" s="2" t="s">
        <v>105</v>
      </c>
      <c r="D64" s="3" t="s">
        <v>208</v>
      </c>
      <c r="E64" t="s">
        <v>251</v>
      </c>
      <c r="F64">
        <v>1</v>
      </c>
      <c r="G64" s="1" t="s">
        <v>278</v>
      </c>
      <c r="H64" s="1" t="s">
        <v>333</v>
      </c>
      <c r="I64">
        <f>F64*VALUE(LEFT(H64, FIND(":", H64)-1))</f>
        <v>0</v>
      </c>
      <c r="J64" t="s">
        <v>9</v>
      </c>
      <c r="K64" t="s">
        <v>12</v>
      </c>
    </row>
    <row r="65" spans="1:11">
      <c r="A65" s="2"/>
      <c r="B65" s="2"/>
      <c r="C65" s="2" t="s">
        <v>106</v>
      </c>
      <c r="D65" s="3" t="s">
        <v>209</v>
      </c>
      <c r="E65" t="s">
        <v>251</v>
      </c>
      <c r="F65">
        <v>1</v>
      </c>
      <c r="G65" s="1" t="s">
        <v>279</v>
      </c>
      <c r="H65" s="1" t="s">
        <v>333</v>
      </c>
      <c r="I65">
        <f>F65*VALUE(LEFT(H65, FIND(":", H65)-1))</f>
        <v>0</v>
      </c>
      <c r="J65" t="s">
        <v>9</v>
      </c>
      <c r="K65" t="s">
        <v>12</v>
      </c>
    </row>
    <row r="66" spans="1:11">
      <c r="A66" s="2"/>
      <c r="B66" s="2"/>
      <c r="C66" s="2" t="s">
        <v>107</v>
      </c>
      <c r="D66" s="3" t="s">
        <v>210</v>
      </c>
      <c r="E66" t="s">
        <v>251</v>
      </c>
      <c r="F66">
        <v>1</v>
      </c>
      <c r="H66" s="1" t="s">
        <v>343</v>
      </c>
      <c r="I66">
        <f>F66*VALUE(LEFT(H66, FIND(":", H66)-1))</f>
        <v>0</v>
      </c>
      <c r="J66" t="s">
        <v>9</v>
      </c>
      <c r="K66" t="s">
        <v>12</v>
      </c>
    </row>
    <row r="67" spans="1:11">
      <c r="A67" s="2"/>
      <c r="B67" s="2"/>
      <c r="C67" s="2" t="s">
        <v>108</v>
      </c>
      <c r="D67" s="3" t="s">
        <v>211</v>
      </c>
      <c r="E67" t="s">
        <v>251</v>
      </c>
      <c r="F67">
        <v>1</v>
      </c>
      <c r="G67" s="1" t="s">
        <v>280</v>
      </c>
      <c r="H67" s="1" t="s">
        <v>333</v>
      </c>
      <c r="I67">
        <f>F67*VALUE(LEFT(H67, FIND(":", H67)-1))</f>
        <v>0</v>
      </c>
      <c r="J67" t="s">
        <v>9</v>
      </c>
      <c r="K67" t="s">
        <v>12</v>
      </c>
    </row>
    <row r="68" spans="1:11">
      <c r="A68" s="2"/>
      <c r="B68" s="2" t="s">
        <v>16</v>
      </c>
      <c r="C68" s="2" t="s">
        <v>109</v>
      </c>
      <c r="D68" s="3" t="s">
        <v>212</v>
      </c>
      <c r="E68" t="s">
        <v>251</v>
      </c>
      <c r="F68">
        <v>1</v>
      </c>
      <c r="H68" s="1" t="s">
        <v>344</v>
      </c>
      <c r="I68">
        <f>F68*VALUE(LEFT(H68, FIND(":", H68)-1))</f>
        <v>0</v>
      </c>
      <c r="J68" t="s">
        <v>9</v>
      </c>
      <c r="K68" t="s">
        <v>16</v>
      </c>
    </row>
    <row r="69" spans="1:11">
      <c r="A69" s="2"/>
      <c r="B69" s="2"/>
      <c r="C69" s="2" t="s">
        <v>110</v>
      </c>
      <c r="D69" s="3" t="s">
        <v>213</v>
      </c>
      <c r="E69" t="s">
        <v>251</v>
      </c>
      <c r="F69">
        <v>1</v>
      </c>
      <c r="G69" s="1" t="s">
        <v>281</v>
      </c>
      <c r="H69" s="1" t="s">
        <v>333</v>
      </c>
      <c r="I69">
        <f>F69*VALUE(LEFT(H69, FIND(":", H69)-1))</f>
        <v>0</v>
      </c>
      <c r="J69" t="s">
        <v>9</v>
      </c>
      <c r="K69" t="s">
        <v>16</v>
      </c>
    </row>
    <row r="70" spans="1:11">
      <c r="A70" s="2"/>
      <c r="B70" s="2"/>
      <c r="C70" s="2" t="s">
        <v>111</v>
      </c>
      <c r="D70" s="3" t="s">
        <v>214</v>
      </c>
      <c r="E70" t="s">
        <v>251</v>
      </c>
      <c r="F70">
        <v>1</v>
      </c>
      <c r="G70" s="1" t="s">
        <v>282</v>
      </c>
      <c r="H70" s="1" t="s">
        <v>333</v>
      </c>
      <c r="I70">
        <f>F70*VALUE(LEFT(H70, FIND(":", H70)-1))</f>
        <v>0</v>
      </c>
      <c r="J70" t="s">
        <v>9</v>
      </c>
      <c r="K70" t="s">
        <v>16</v>
      </c>
    </row>
    <row r="71" spans="1:11">
      <c r="A71" s="2"/>
      <c r="B71" s="2"/>
      <c r="C71" s="2" t="s">
        <v>112</v>
      </c>
      <c r="D71" s="3" t="s">
        <v>215</v>
      </c>
      <c r="E71" t="s">
        <v>253</v>
      </c>
      <c r="F71">
        <v>1</v>
      </c>
      <c r="H71" s="1" t="s">
        <v>344</v>
      </c>
      <c r="I71">
        <f>F71*VALUE(LEFT(H71, FIND(":", H71)-1))</f>
        <v>0</v>
      </c>
      <c r="J71" t="s">
        <v>9</v>
      </c>
      <c r="K71" t="s">
        <v>16</v>
      </c>
    </row>
    <row r="72" spans="1:11">
      <c r="A72" s="2"/>
      <c r="B72" s="2" t="s">
        <v>29</v>
      </c>
      <c r="C72" s="2" t="s">
        <v>113</v>
      </c>
      <c r="D72" s="3" t="s">
        <v>216</v>
      </c>
      <c r="E72" t="s">
        <v>250</v>
      </c>
      <c r="F72">
        <v>1</v>
      </c>
      <c r="H72" s="1" t="s">
        <v>334</v>
      </c>
      <c r="I72">
        <f>F72*VALUE(LEFT(H72, FIND(":", H72)-1))</f>
        <v>0</v>
      </c>
      <c r="J72" t="s">
        <v>9</v>
      </c>
      <c r="K72" t="s">
        <v>29</v>
      </c>
    </row>
    <row r="73" spans="1:11">
      <c r="A73" s="2"/>
      <c r="B73" s="2"/>
      <c r="C73" s="2" t="s">
        <v>114</v>
      </c>
      <c r="D73" s="3" t="s">
        <v>217</v>
      </c>
      <c r="E73" t="s">
        <v>251</v>
      </c>
      <c r="F73">
        <v>1</v>
      </c>
      <c r="G73" s="1" t="s">
        <v>283</v>
      </c>
      <c r="H73" s="1" t="s">
        <v>333</v>
      </c>
      <c r="I73">
        <f>F73*VALUE(LEFT(H73, FIND(":", H73)-1))</f>
        <v>0</v>
      </c>
      <c r="J73" t="s">
        <v>9</v>
      </c>
      <c r="K73" t="s">
        <v>29</v>
      </c>
    </row>
    <row r="74" spans="1:11">
      <c r="A74" s="2"/>
      <c r="B74" s="2"/>
      <c r="C74" s="2" t="s">
        <v>115</v>
      </c>
      <c r="D74" s="3" t="s">
        <v>218</v>
      </c>
      <c r="E74" t="s">
        <v>251</v>
      </c>
      <c r="F74">
        <v>1</v>
      </c>
      <c r="G74" s="1" t="s">
        <v>284</v>
      </c>
      <c r="H74" s="1" t="s">
        <v>333</v>
      </c>
      <c r="I74">
        <f>F74*VALUE(LEFT(H74, FIND(":", H74)-1))</f>
        <v>0</v>
      </c>
      <c r="J74" t="s">
        <v>9</v>
      </c>
      <c r="K74" t="s">
        <v>29</v>
      </c>
    </row>
    <row r="75" spans="1:11">
      <c r="A75" s="2"/>
      <c r="B75" s="2"/>
      <c r="C75" s="2" t="s">
        <v>116</v>
      </c>
      <c r="D75" s="3" t="s">
        <v>219</v>
      </c>
      <c r="E75" t="s">
        <v>250</v>
      </c>
      <c r="F75">
        <v>1</v>
      </c>
      <c r="H75" s="1" t="s">
        <v>334</v>
      </c>
      <c r="I75">
        <f>F75*VALUE(LEFT(H75, FIND(":", H75)-1))</f>
        <v>0</v>
      </c>
      <c r="J75" t="s">
        <v>9</v>
      </c>
      <c r="K75" t="s">
        <v>29</v>
      </c>
    </row>
    <row r="76" spans="1:11">
      <c r="A76" s="2"/>
      <c r="B76" s="2"/>
      <c r="C76" s="2" t="s">
        <v>117</v>
      </c>
      <c r="D76" s="3" t="s">
        <v>220</v>
      </c>
      <c r="E76" t="s">
        <v>251</v>
      </c>
      <c r="F76">
        <v>1</v>
      </c>
      <c r="H76" s="1" t="s">
        <v>345</v>
      </c>
      <c r="I76">
        <f>F76*VALUE(LEFT(H76, FIND(":", H76)-1))</f>
        <v>0</v>
      </c>
      <c r="J76" t="s">
        <v>9</v>
      </c>
      <c r="K76" t="s">
        <v>29</v>
      </c>
    </row>
    <row r="77" spans="1:11">
      <c r="A77" s="2"/>
      <c r="B77" s="2"/>
      <c r="C77" s="2" t="s">
        <v>118</v>
      </c>
      <c r="D77" s="3" t="s">
        <v>221</v>
      </c>
      <c r="E77" t="s">
        <v>250</v>
      </c>
      <c r="F77">
        <v>1</v>
      </c>
      <c r="H77" s="1" t="s">
        <v>334</v>
      </c>
      <c r="I77">
        <f>F77*VALUE(LEFT(H77, FIND(":", H77)-1))</f>
        <v>0</v>
      </c>
      <c r="J77" t="s">
        <v>9</v>
      </c>
      <c r="K77" t="s">
        <v>29</v>
      </c>
    </row>
    <row r="78" spans="1:11">
      <c r="A78" s="2"/>
      <c r="B78" s="2"/>
      <c r="C78" s="2" t="s">
        <v>119</v>
      </c>
      <c r="D78" s="3" t="s">
        <v>222</v>
      </c>
      <c r="E78" t="s">
        <v>250</v>
      </c>
      <c r="F78">
        <v>1</v>
      </c>
      <c r="H78" s="1" t="s">
        <v>334</v>
      </c>
      <c r="I78">
        <f>F78*VALUE(LEFT(H78, FIND(":", H78)-1))</f>
        <v>0</v>
      </c>
      <c r="J78" t="s">
        <v>9</v>
      </c>
      <c r="K78" t="s">
        <v>29</v>
      </c>
    </row>
    <row r="79" spans="1:11">
      <c r="A79" s="2" t="s">
        <v>8</v>
      </c>
      <c r="B79" s="2" t="s">
        <v>24</v>
      </c>
      <c r="C79" s="2" t="s">
        <v>120</v>
      </c>
      <c r="D79" s="3" t="s">
        <v>223</v>
      </c>
      <c r="E79" t="s">
        <v>251</v>
      </c>
      <c r="F79">
        <v>1</v>
      </c>
      <c r="H79" s="1" t="s">
        <v>346</v>
      </c>
      <c r="I79">
        <f>F79*VALUE(LEFT(H79, FIND(":", H79)-1))</f>
        <v>0</v>
      </c>
      <c r="J79" t="s">
        <v>8</v>
      </c>
      <c r="K79" t="s">
        <v>24</v>
      </c>
    </row>
    <row r="80" spans="1:11">
      <c r="A80" s="2"/>
      <c r="B80" s="2" t="s">
        <v>15</v>
      </c>
      <c r="C80" s="2" t="s">
        <v>121</v>
      </c>
      <c r="D80" s="3" t="s">
        <v>224</v>
      </c>
      <c r="E80" t="s">
        <v>251</v>
      </c>
      <c r="F80">
        <v>1</v>
      </c>
      <c r="H80" s="1" t="s">
        <v>339</v>
      </c>
      <c r="I80">
        <f>F80*VALUE(LEFT(H80, FIND(":", H80)-1))</f>
        <v>0</v>
      </c>
      <c r="J80" t="s">
        <v>8</v>
      </c>
      <c r="K80" t="s">
        <v>15</v>
      </c>
    </row>
    <row r="81" spans="1:11">
      <c r="A81" s="2"/>
      <c r="B81" s="2"/>
      <c r="C81" s="2" t="s">
        <v>122</v>
      </c>
      <c r="D81" s="3" t="s">
        <v>225</v>
      </c>
      <c r="E81" t="s">
        <v>251</v>
      </c>
      <c r="F81">
        <v>1</v>
      </c>
      <c r="H81" s="1" t="s">
        <v>339</v>
      </c>
      <c r="I81">
        <f>F81*VALUE(LEFT(H81, FIND(":", H81)-1))</f>
        <v>0</v>
      </c>
      <c r="J81" t="s">
        <v>8</v>
      </c>
      <c r="K81" t="s">
        <v>15</v>
      </c>
    </row>
    <row r="82" spans="1:11">
      <c r="A82" s="2"/>
      <c r="B82" s="2"/>
      <c r="C82" s="2" t="s">
        <v>123</v>
      </c>
      <c r="D82" s="3" t="s">
        <v>226</v>
      </c>
      <c r="E82" t="s">
        <v>250</v>
      </c>
      <c r="F82">
        <v>1</v>
      </c>
      <c r="H82" s="1" t="s">
        <v>334</v>
      </c>
      <c r="I82">
        <f>F82*VALUE(LEFT(H82, FIND(":", H82)-1))</f>
        <v>0</v>
      </c>
      <c r="J82" t="s">
        <v>8</v>
      </c>
      <c r="K82" t="s">
        <v>15</v>
      </c>
    </row>
    <row r="83" spans="1:11">
      <c r="A83" s="2"/>
      <c r="B83" s="2"/>
      <c r="C83" s="2" t="s">
        <v>124</v>
      </c>
      <c r="D83" s="3" t="s">
        <v>227</v>
      </c>
      <c r="E83" t="s">
        <v>250</v>
      </c>
      <c r="F83">
        <v>1</v>
      </c>
      <c r="H83" s="1" t="s">
        <v>334</v>
      </c>
      <c r="I83">
        <f>F83*VALUE(LEFT(H83, FIND(":", H83)-1))</f>
        <v>0</v>
      </c>
      <c r="J83" t="s">
        <v>8</v>
      </c>
      <c r="K83" t="s">
        <v>15</v>
      </c>
    </row>
    <row r="84" spans="1:11">
      <c r="A84" s="2"/>
      <c r="B84" s="2"/>
      <c r="C84" s="2" t="s">
        <v>125</v>
      </c>
      <c r="D84" s="3" t="s">
        <v>228</v>
      </c>
      <c r="E84" t="s">
        <v>250</v>
      </c>
      <c r="F84">
        <v>1</v>
      </c>
      <c r="H84" s="1" t="s">
        <v>334</v>
      </c>
      <c r="I84">
        <f>F84*VALUE(LEFT(H84, FIND(":", H84)-1))</f>
        <v>0</v>
      </c>
      <c r="J84" t="s">
        <v>8</v>
      </c>
      <c r="K84" t="s">
        <v>15</v>
      </c>
    </row>
    <row r="85" spans="1:11">
      <c r="A85" s="2"/>
      <c r="B85" s="2"/>
      <c r="C85" s="2" t="s">
        <v>126</v>
      </c>
      <c r="D85" s="3" t="s">
        <v>229</v>
      </c>
      <c r="E85" t="s">
        <v>250</v>
      </c>
      <c r="F85">
        <v>1</v>
      </c>
      <c r="H85" s="1" t="s">
        <v>334</v>
      </c>
      <c r="I85">
        <f>F85*VALUE(LEFT(H85, FIND(":", H85)-1))</f>
        <v>0</v>
      </c>
      <c r="J85" t="s">
        <v>8</v>
      </c>
      <c r="K85" t="s">
        <v>15</v>
      </c>
    </row>
    <row r="86" spans="1:11">
      <c r="A86" s="2"/>
      <c r="B86" s="2" t="s">
        <v>21</v>
      </c>
      <c r="C86" s="2" t="s">
        <v>127</v>
      </c>
      <c r="D86" s="3" t="s">
        <v>230</v>
      </c>
      <c r="E86" t="s">
        <v>251</v>
      </c>
      <c r="F86">
        <v>1</v>
      </c>
      <c r="G86" s="1" t="s">
        <v>285</v>
      </c>
      <c r="H86" s="1" t="s">
        <v>333</v>
      </c>
      <c r="I86">
        <f>F86*VALUE(LEFT(H86, FIND(":", H86)-1))</f>
        <v>0</v>
      </c>
      <c r="J86" t="s">
        <v>8</v>
      </c>
      <c r="K86" t="s">
        <v>21</v>
      </c>
    </row>
    <row r="87" spans="1:11">
      <c r="A87" s="2"/>
      <c r="B87" s="2"/>
      <c r="C87" s="2" t="s">
        <v>128</v>
      </c>
      <c r="D87" s="3" t="s">
        <v>231</v>
      </c>
      <c r="E87" t="s">
        <v>251</v>
      </c>
      <c r="F87">
        <v>1</v>
      </c>
      <c r="H87" s="1" t="s">
        <v>347</v>
      </c>
      <c r="I87">
        <f>F87*VALUE(LEFT(H87, FIND(":", H87)-1))</f>
        <v>0</v>
      </c>
      <c r="J87" t="s">
        <v>8</v>
      </c>
      <c r="K87" t="s">
        <v>21</v>
      </c>
    </row>
    <row r="88" spans="1:11">
      <c r="A88" s="2"/>
      <c r="B88" s="2"/>
      <c r="C88" s="2" t="s">
        <v>129</v>
      </c>
      <c r="D88" s="3" t="s">
        <v>232</v>
      </c>
      <c r="E88" t="s">
        <v>251</v>
      </c>
      <c r="F88">
        <v>1</v>
      </c>
      <c r="G88" s="1" t="s">
        <v>286</v>
      </c>
      <c r="H88" s="1" t="s">
        <v>341</v>
      </c>
      <c r="I88">
        <f>F88*VALUE(LEFT(H88, FIND(":", H88)-1))</f>
        <v>0</v>
      </c>
      <c r="J88" t="s">
        <v>8</v>
      </c>
      <c r="K88" t="s">
        <v>21</v>
      </c>
    </row>
    <row r="89" spans="1:11">
      <c r="A89" s="2"/>
      <c r="B89" s="2"/>
      <c r="C89" s="2" t="s">
        <v>130</v>
      </c>
      <c r="D89" s="3" t="s">
        <v>233</v>
      </c>
      <c r="E89" t="s">
        <v>251</v>
      </c>
      <c r="F89">
        <v>1</v>
      </c>
      <c r="H89" s="1" t="s">
        <v>348</v>
      </c>
      <c r="I89">
        <f>F89*VALUE(LEFT(H89, FIND(":", H89)-1))</f>
        <v>0</v>
      </c>
      <c r="J89" t="s">
        <v>8</v>
      </c>
      <c r="K89" t="s">
        <v>21</v>
      </c>
    </row>
    <row r="90" spans="1:11">
      <c r="A90" s="2"/>
      <c r="B90" s="2"/>
      <c r="C90" s="2" t="s">
        <v>131</v>
      </c>
      <c r="D90" s="3" t="s">
        <v>234</v>
      </c>
      <c r="E90" t="s">
        <v>251</v>
      </c>
      <c r="F90">
        <v>1</v>
      </c>
      <c r="G90" s="1" t="s">
        <v>287</v>
      </c>
      <c r="H90" s="1" t="s">
        <v>333</v>
      </c>
      <c r="I90">
        <f>F90*VALUE(LEFT(H90, FIND(":", H90)-1))</f>
        <v>0</v>
      </c>
      <c r="J90" t="s">
        <v>8</v>
      </c>
      <c r="K90" t="s">
        <v>21</v>
      </c>
    </row>
    <row r="91" spans="1:11">
      <c r="A91" s="2"/>
      <c r="B91" s="2" t="s">
        <v>26</v>
      </c>
      <c r="C91" s="2" t="s">
        <v>132</v>
      </c>
      <c r="D91" s="3" t="s">
        <v>235</v>
      </c>
      <c r="E91" t="s">
        <v>249</v>
      </c>
      <c r="F91">
        <v>1</v>
      </c>
      <c r="G91" s="1" t="s">
        <v>288</v>
      </c>
      <c r="H91" s="1" t="s">
        <v>333</v>
      </c>
      <c r="I91">
        <f>F91*VALUE(LEFT(H91, FIND(":", H91)-1))</f>
        <v>0</v>
      </c>
      <c r="J91" t="s">
        <v>8</v>
      </c>
      <c r="K91" t="s">
        <v>26</v>
      </c>
    </row>
    <row r="92" spans="1:11">
      <c r="A92" s="2"/>
      <c r="B92" s="2"/>
      <c r="C92" s="2" t="s">
        <v>133</v>
      </c>
      <c r="D92" s="3" t="s">
        <v>236</v>
      </c>
      <c r="E92" t="s">
        <v>249</v>
      </c>
      <c r="F92">
        <v>1</v>
      </c>
      <c r="G92" s="1" t="s">
        <v>289</v>
      </c>
      <c r="H92" s="1" t="s">
        <v>333</v>
      </c>
      <c r="I92">
        <f>F92*VALUE(LEFT(H92, FIND(":", H92)-1))</f>
        <v>0</v>
      </c>
      <c r="J92" t="s">
        <v>8</v>
      </c>
      <c r="K92" t="s">
        <v>26</v>
      </c>
    </row>
    <row r="93" spans="1:11">
      <c r="A93" s="2"/>
      <c r="B93" s="2"/>
      <c r="C93" s="2" t="s">
        <v>134</v>
      </c>
      <c r="D93" s="3" t="s">
        <v>237</v>
      </c>
      <c r="E93" t="s">
        <v>249</v>
      </c>
      <c r="F93">
        <v>1</v>
      </c>
      <c r="G93" s="1" t="s">
        <v>290</v>
      </c>
      <c r="H93" s="1" t="s">
        <v>333</v>
      </c>
      <c r="I93">
        <f>F93*VALUE(LEFT(H93, FIND(":", H93)-1))</f>
        <v>0</v>
      </c>
      <c r="J93" t="s">
        <v>8</v>
      </c>
      <c r="K93" t="s">
        <v>26</v>
      </c>
    </row>
    <row r="94" spans="1:11">
      <c r="A94" s="2"/>
      <c r="B94" s="2"/>
      <c r="C94" s="2" t="s">
        <v>135</v>
      </c>
      <c r="D94" s="3" t="s">
        <v>238</v>
      </c>
      <c r="E94" t="s">
        <v>249</v>
      </c>
      <c r="F94">
        <v>1</v>
      </c>
      <c r="G94" s="1" t="s">
        <v>291</v>
      </c>
      <c r="H94" s="1" t="s">
        <v>333</v>
      </c>
      <c r="I94">
        <f>F94*VALUE(LEFT(H94, FIND(":", H94)-1))</f>
        <v>0</v>
      </c>
      <c r="J94" t="s">
        <v>8</v>
      </c>
      <c r="K94" t="s">
        <v>26</v>
      </c>
    </row>
    <row r="95" spans="1:11">
      <c r="A95" s="2"/>
      <c r="B95" s="2"/>
      <c r="C95" s="2" t="s">
        <v>136</v>
      </c>
      <c r="D95" s="3" t="s">
        <v>239</v>
      </c>
      <c r="E95" t="s">
        <v>251</v>
      </c>
      <c r="F95">
        <v>1</v>
      </c>
      <c r="G95" s="1" t="s">
        <v>292</v>
      </c>
      <c r="H95" s="1" t="s">
        <v>333</v>
      </c>
      <c r="I95">
        <f>F95*VALUE(LEFT(H95, FIND(":", H95)-1))</f>
        <v>0</v>
      </c>
      <c r="J95" t="s">
        <v>8</v>
      </c>
      <c r="K95" t="s">
        <v>26</v>
      </c>
    </row>
    <row r="96" spans="1:11">
      <c r="A96" s="2"/>
      <c r="B96" s="2"/>
      <c r="C96" s="2" t="s">
        <v>137</v>
      </c>
      <c r="D96" s="3" t="s">
        <v>240</v>
      </c>
      <c r="E96" t="s">
        <v>251</v>
      </c>
      <c r="F96">
        <v>1</v>
      </c>
      <c r="H96" s="1" t="s">
        <v>341</v>
      </c>
      <c r="I96">
        <f>F96*VALUE(LEFT(H96, FIND(":", H96)-1))</f>
        <v>0</v>
      </c>
      <c r="J96" t="s">
        <v>8</v>
      </c>
      <c r="K96" t="s">
        <v>26</v>
      </c>
    </row>
    <row r="97" spans="1:11">
      <c r="A97" s="2"/>
      <c r="B97" s="2"/>
      <c r="C97" s="2" t="s">
        <v>138</v>
      </c>
      <c r="D97" s="3" t="s">
        <v>241</v>
      </c>
      <c r="E97" t="s">
        <v>249</v>
      </c>
      <c r="F97">
        <v>1</v>
      </c>
      <c r="G97" s="1" t="s">
        <v>293</v>
      </c>
      <c r="H97" s="1" t="s">
        <v>333</v>
      </c>
      <c r="I97">
        <f>F97*VALUE(LEFT(H97, FIND(":", H97)-1))</f>
        <v>0</v>
      </c>
      <c r="J97" t="s">
        <v>8</v>
      </c>
      <c r="K97" t="s">
        <v>26</v>
      </c>
    </row>
    <row r="98" spans="1:11">
      <c r="A98" s="2"/>
      <c r="B98" s="2" t="s">
        <v>30</v>
      </c>
      <c r="C98" s="2" t="s">
        <v>139</v>
      </c>
      <c r="D98" s="3" t="s">
        <v>242</v>
      </c>
      <c r="E98" t="s">
        <v>251</v>
      </c>
      <c r="F98">
        <v>1</v>
      </c>
      <c r="G98" s="1" t="s">
        <v>294</v>
      </c>
      <c r="H98" s="1" t="s">
        <v>333</v>
      </c>
      <c r="I98">
        <f>F98*VALUE(LEFT(H98, FIND(":", H98)-1))</f>
        <v>0</v>
      </c>
      <c r="J98" t="s">
        <v>8</v>
      </c>
      <c r="K98" t="s">
        <v>30</v>
      </c>
    </row>
    <row r="99" spans="1:11">
      <c r="A99" s="2"/>
      <c r="B99" s="2"/>
      <c r="C99" s="2" t="s">
        <v>140</v>
      </c>
      <c r="D99" s="3" t="s">
        <v>243</v>
      </c>
      <c r="E99" t="s">
        <v>249</v>
      </c>
      <c r="F99">
        <v>1</v>
      </c>
      <c r="G99" s="1" t="s">
        <v>295</v>
      </c>
      <c r="H99" s="1" t="s">
        <v>333</v>
      </c>
      <c r="I99">
        <f>F99*VALUE(LEFT(H99, FIND(":", H99)-1))</f>
        <v>0</v>
      </c>
      <c r="J99" t="s">
        <v>8</v>
      </c>
      <c r="K99" t="s">
        <v>30</v>
      </c>
    </row>
    <row r="100" spans="1:11">
      <c r="A100" s="2"/>
      <c r="B100" s="2"/>
      <c r="C100" s="2" t="s">
        <v>141</v>
      </c>
      <c r="D100" s="3" t="s">
        <v>244</v>
      </c>
      <c r="E100" t="s">
        <v>249</v>
      </c>
      <c r="F100">
        <v>1</v>
      </c>
      <c r="G100" s="1" t="s">
        <v>296</v>
      </c>
      <c r="H100" s="1" t="s">
        <v>333</v>
      </c>
      <c r="I100">
        <f>F100*VALUE(LEFT(H100, FIND(":", H100)-1))</f>
        <v>0</v>
      </c>
      <c r="J100" t="s">
        <v>8</v>
      </c>
      <c r="K100" t="s">
        <v>30</v>
      </c>
    </row>
    <row r="101" spans="1:11">
      <c r="A101" s="2"/>
      <c r="B101" s="2"/>
      <c r="C101" s="2" t="s">
        <v>142</v>
      </c>
      <c r="D101" s="3" t="s">
        <v>245</v>
      </c>
      <c r="E101" t="s">
        <v>249</v>
      </c>
      <c r="F101">
        <v>1</v>
      </c>
      <c r="G101" s="1" t="s">
        <v>297</v>
      </c>
      <c r="H101" s="1" t="s">
        <v>333</v>
      </c>
      <c r="I101">
        <f>F101*VALUE(LEFT(H101, FIND(":", H101)-1))</f>
        <v>0</v>
      </c>
      <c r="J101" t="s">
        <v>8</v>
      </c>
      <c r="K101" t="s">
        <v>30</v>
      </c>
    </row>
    <row r="102" spans="1:11">
      <c r="A102" s="2"/>
      <c r="B102" s="2"/>
      <c r="C102" s="2" t="s">
        <v>143</v>
      </c>
      <c r="D102" s="3" t="s">
        <v>246</v>
      </c>
      <c r="E102" t="s">
        <v>249</v>
      </c>
      <c r="F102">
        <v>1</v>
      </c>
      <c r="G102" s="1" t="s">
        <v>298</v>
      </c>
      <c r="H102" s="1" t="s">
        <v>333</v>
      </c>
      <c r="I102">
        <f>F102*VALUE(LEFT(H102, FIND(":", H102)-1))</f>
        <v>0</v>
      </c>
      <c r="J102" t="s">
        <v>8</v>
      </c>
      <c r="K102" t="s">
        <v>30</v>
      </c>
    </row>
    <row r="103" spans="1:11">
      <c r="A103" s="2"/>
      <c r="B103" s="2"/>
      <c r="C103" s="2" t="s">
        <v>144</v>
      </c>
      <c r="D103" s="3" t="s">
        <v>247</v>
      </c>
      <c r="E103" t="s">
        <v>251</v>
      </c>
      <c r="F103">
        <v>1</v>
      </c>
      <c r="H103" s="1" t="s">
        <v>347</v>
      </c>
      <c r="I103">
        <f>F103*VALUE(LEFT(H103, FIND(":", H103)-1))</f>
        <v>0</v>
      </c>
      <c r="J103" t="s">
        <v>8</v>
      </c>
      <c r="K103" t="s">
        <v>30</v>
      </c>
    </row>
    <row r="104" spans="1:11">
      <c r="A104" s="2" t="s">
        <v>6</v>
      </c>
      <c r="B104" s="2" t="s">
        <v>27</v>
      </c>
      <c r="C104" s="2" t="s">
        <v>145</v>
      </c>
      <c r="D104" s="3" t="s">
        <v>248</v>
      </c>
      <c r="E104" t="s">
        <v>251</v>
      </c>
      <c r="F104">
        <v>1</v>
      </c>
      <c r="H104" s="1" t="s">
        <v>349</v>
      </c>
      <c r="I104">
        <f>F104*VALUE(LEFT(H104, FIND(":", H104)-1))</f>
        <v>0</v>
      </c>
      <c r="J104" t="s">
        <v>6</v>
      </c>
      <c r="K104" t="s">
        <v>27</v>
      </c>
    </row>
  </sheetData>
  <mergeCells count="21">
    <mergeCell ref="A2:A33"/>
    <mergeCell ref="A34:A78"/>
    <mergeCell ref="A79:A103"/>
    <mergeCell ref="B2:B5"/>
    <mergeCell ref="B6:B10"/>
    <mergeCell ref="B11:B16"/>
    <mergeCell ref="B17:B20"/>
    <mergeCell ref="B21:B26"/>
    <mergeCell ref="B27:B32"/>
    <mergeCell ref="B34:B42"/>
    <mergeCell ref="B43:B48"/>
    <mergeCell ref="B49:B51"/>
    <mergeCell ref="B52:B57"/>
    <mergeCell ref="B58:B63"/>
    <mergeCell ref="B64:B67"/>
    <mergeCell ref="B68:B71"/>
    <mergeCell ref="B72:B78"/>
    <mergeCell ref="B80:B85"/>
    <mergeCell ref="B86:B90"/>
    <mergeCell ref="B91:B97"/>
    <mergeCell ref="B98:B103"/>
  </mergeCells>
  <dataValidations count="103">
    <dataValidation type="list" allowBlank="1" showInputMessage="1" showErrorMessage="1" sqref="H2">
      <formula1>"0: 0 items completed,3: 1 item completed,5: 2 items completed,8: 3 items completed,10: 4 items completed"</formula1>
    </dataValidation>
    <dataValidation type="list" allowBlank="1" showInputMessage="1" showErrorMessage="1" sqref="H3">
      <formula1>"0: No items completed,3: 1 item completed,5: 2 items completed,8: 3 items completed,10: 4 items completed"</formula1>
    </dataValidation>
    <dataValidation type="list" allowBlank="1" showInputMessage="1" showErrorMessage="1" sqref="H4">
      <formula1>"0: No items completed,4: 1 item completed,7: 2 items completed,10: 3 items completed"</formula1>
    </dataValidation>
    <dataValidation type="list" allowBlank="1" showInputMessage="1" showErrorMessage="1" sqref="H5">
      <formula1>"0: No items completed,3: item 1 completed,5: items 1-2 completed,8: items 1-3 completed,10: items 1-4 completed"</formula1>
    </dataValidation>
    <dataValidation type="list" allowBlank="1" showInputMessage="1" showErrorMessage="1" sqref="H6">
      <formula1>"0: Not done,10: Completed"</formula1>
    </dataValidation>
    <dataValidation type="list" allowBlank="1" showInputMessage="1" showErrorMessage="1" sqref="H7">
      <formula1>"0: Not done,10: Completed"</formula1>
    </dataValidation>
    <dataValidation type="list" allowBlank="1" showInputMessage="1" showErrorMessage="1" sqref="H8">
      <formula1>"0: Not done,10: Completed"</formula1>
    </dataValidation>
    <dataValidation type="list" allowBlank="1" showInputMessage="1" showErrorMessage="1" sqref="H9">
      <formula1>"0: No items completed,5: 1 item completed,10: 2 items completed"</formula1>
    </dataValidation>
    <dataValidation type="list" allowBlank="1" showInputMessage="1" showErrorMessage="1" sqref="H10">
      <formula1>"0: Not done,10: Completed"</formula1>
    </dataValidation>
    <dataValidation type="list" allowBlank="1" showInputMessage="1" showErrorMessage="1" sqref="H11">
      <formula1>"0: Not done,10: Defined"</formula1>
    </dataValidation>
    <dataValidation type="list" allowBlank="1" showInputMessage="1" showErrorMessage="1" sqref="H12">
      <formula1>"0: Not done,10: Completed"</formula1>
    </dataValidation>
    <dataValidation type="list" allowBlank="1" showInputMessage="1" showErrorMessage="1" sqref="H13">
      <formula1>"0: Not done,10: Completed"</formula1>
    </dataValidation>
    <dataValidation type="list" allowBlank="1" showInputMessage="1" showErrorMessage="1" sqref="H14">
      <formula1>"0: Not done,10: Completed"</formula1>
    </dataValidation>
    <dataValidation type="list" allowBlank="1" showInputMessage="1" showErrorMessage="1" sqref="H15">
      <formula1>"0: Not done,10: Completed"</formula1>
    </dataValidation>
    <dataValidation type="list" allowBlank="1" showInputMessage="1" showErrorMessage="1" sqref="H16">
      <formula1>"0: Not done,10: Completed"</formula1>
    </dataValidation>
    <dataValidation type="list" allowBlank="1" showInputMessage="1" showErrorMessage="1" sqref="H17">
      <formula1>"0: Low Maturity (0-9),4: Developing (10-18),7: Established (19-26),10: Optimizing (27-31)"</formula1>
    </dataValidation>
    <dataValidation type="list" allowBlank="1" showInputMessage="1" showErrorMessage="1" sqref="H18">
      <formula1>"0: Low Maturity. Score Range (0-8),4: Developing. Score Range (9-17),7: Established. Score Range (18-24),10: Optimizing. Score Range (25-29)"</formula1>
    </dataValidation>
    <dataValidation type="list" allowBlank="1" showInputMessage="1" showErrorMessage="1" sqref="H19">
      <formula1>"0: Low Maturity. Score Range (0-15),4: Developing. Score Range (16-31),7: Established. Score Range (32-44),10: Optimizing. Score Range (45-52)"</formula1>
    </dataValidation>
    <dataValidation type="list" allowBlank="1" showInputMessage="1" showErrorMessage="1" sqref="H20">
      <formula1>"0: No items completed,2: 1 item completed,4: 2 items completed,6: 3 items completed,8: 4 items completed,10: 5 items completed"</formula1>
    </dataValidation>
    <dataValidation type="list" allowBlank="1" showInputMessage="1" showErrorMessage="1" sqref="H21">
      <formula1>"0: No items completed,2: item 1 completed,4: items 1-2 completed,6: items 1-3 completed,8: items 1-4 completed,10: items 1-5 completed"</formula1>
    </dataValidation>
    <dataValidation type="list" allowBlank="1" showInputMessage="1" showErrorMessage="1" sqref="H22">
      <formula1>"0: No items completed,2: 1 item completed,4: 2 items completed,6: 3 items completed,8: 4 items completed,10: 5 items completed"</formula1>
    </dataValidation>
    <dataValidation type="list" allowBlank="1" showInputMessage="1" showErrorMessage="1" sqref="H23">
      <formula1>"0: No items completed,4: 1 item completed,7: 2 items completed,10: 3 items completed"</formula1>
    </dataValidation>
    <dataValidation type="list" allowBlank="1" showInputMessage="1" showErrorMessage="1" sqref="H24">
      <formula1>"0: No items completed,4: 1 item completed,7: 2 items completed,10: 3 items completed"</formula1>
    </dataValidation>
    <dataValidation type="list" allowBlank="1" showInputMessage="1" showErrorMessage="1" sqref="H25">
      <formula1>"0: No items completed,3: item 1 completed,5: items 1-2 completed,8: items 1-3 completed,10: items 1-4 completed"</formula1>
    </dataValidation>
    <dataValidation type="list" allowBlank="1" showInputMessage="1" showErrorMessage="1" sqref="H26">
      <formula1>"0: No items completed,4: 1 item completed,7: 2 items completed,10: 3 items completed"</formula1>
    </dataValidation>
    <dataValidation type="list" allowBlank="1" showInputMessage="1" showErrorMessage="1" sqref="H27">
      <formula1>"0: Not done,10: Completed"</formula1>
    </dataValidation>
    <dataValidation type="list" allowBlank="1" showInputMessage="1" showErrorMessage="1" sqref="H28">
      <formula1>"0: Not done,10: Completed"</formula1>
    </dataValidation>
    <dataValidation type="list" allowBlank="1" showInputMessage="1" showErrorMessage="1" sqref="H29">
      <formula1>"0: Not done,10: Done and clearly defined"</formula1>
    </dataValidation>
    <dataValidation type="list" allowBlank="1" showInputMessage="1" showErrorMessage="1" sqref="H30">
      <formula1>"0: Not done,10: Completed"</formula1>
    </dataValidation>
    <dataValidation type="list" allowBlank="1" showInputMessage="1" showErrorMessage="1" sqref="H31">
      <formula1>"0: Not done,10: Completed"</formula1>
    </dataValidation>
    <dataValidation type="list" allowBlank="1" showInputMessage="1" showErrorMessage="1" sqref="H32">
      <formula1>"0: Not done,10: Defined"</formula1>
    </dataValidation>
    <dataValidation type="list" allowBlank="1" showInputMessage="1" showErrorMessage="1" sqref="H33">
      <formula1>"0: No executive sponsor identified,10: Executive sponsor formally identified and actively engaged"</formula1>
    </dataValidation>
    <dataValidation type="list" allowBlank="1" showInputMessage="1" showErrorMessage="1" sqref="H34">
      <formula1>"0: Does not exist,10: Exists"</formula1>
    </dataValidation>
    <dataValidation type="list" allowBlank="1" showInputMessage="1" showErrorMessage="1" sqref="H35">
      <formula1>"0: No items completed,2: 1 item completed,4: 2 items completed,6: 3 items completed,8: 4 items completed,10: 5 items completed"</formula1>
    </dataValidation>
    <dataValidation type="list" allowBlank="1" showInputMessage="1" showErrorMessage="1" sqref="H36">
      <formula1>"0: No documented method,10: Documented method of assessing modernization efforts"</formula1>
    </dataValidation>
    <dataValidation type="list" allowBlank="1" showInputMessage="1" showErrorMessage="1" sqref="H37">
      <formula1>"0: Not done,10: Completed"</formula1>
    </dataValidation>
    <dataValidation type="list" allowBlank="1" showInputMessage="1" showErrorMessage="1" sqref="H38">
      <formula1>"0: Not done,10: Completed"</formula1>
    </dataValidation>
    <dataValidation type="list" allowBlank="1" showInputMessage="1" showErrorMessage="1" sqref="H39">
      <formula1>"0: No items completed,4: 1 item completed,7: 2 items completed,10: 3 items completed"</formula1>
    </dataValidation>
    <dataValidation type="list" allowBlank="1" showInputMessage="1" showErrorMessage="1" sqref="H40">
      <formula1>"0: Not done,10: Completed"</formula1>
    </dataValidation>
    <dataValidation type="list" allowBlank="1" showInputMessage="1" showErrorMessage="1" sqref="H41">
      <formula1>"0: Not done,10: Completed"</formula1>
    </dataValidation>
    <dataValidation type="list" allowBlank="1" showInputMessage="1" showErrorMessage="1" sqref="H42">
      <formula1>"0: Not done,10: Completed"</formula1>
    </dataValidation>
    <dataValidation type="list" allowBlank="1" showInputMessage="1" showErrorMessage="1" sqref="H43">
      <formula1>"0: 0%,1: 10%,2: 20%,3: 30%,4: 40%,5: 50%,6: 60%,7: 70%,8: 80%,9: 90%,10: Near 100%"</formula1>
    </dataValidation>
    <dataValidation type="list" allowBlank="1" showInputMessage="1" showErrorMessage="1" sqref="H44">
      <formula1>"0: Not done,10: Completed"</formula1>
    </dataValidation>
    <dataValidation type="list" allowBlank="1" showInputMessage="1" showErrorMessage="1" sqref="H45">
      <formula1>"0: Not done,10: Completed"</formula1>
    </dataValidation>
    <dataValidation type="list" allowBlank="1" showInputMessage="1" showErrorMessage="1" sqref="H46">
      <formula1>"0: Not done,10: Policy in place and published"</formula1>
    </dataValidation>
    <dataValidation type="list" allowBlank="1" showInputMessage="1" showErrorMessage="1" sqref="H47">
      <formula1>"0: Not done,10: Completed"</formula1>
    </dataValidation>
    <dataValidation type="list" allowBlank="1" showInputMessage="1" showErrorMessage="1" sqref="H48">
      <formula1>"0: Not done,10: Completed"</formula1>
    </dataValidation>
    <dataValidation type="list" allowBlank="1" showInputMessage="1" showErrorMessage="1" sqref="H49">
      <formula1>"0: Not done,10: Policy in place and published"</formula1>
    </dataValidation>
    <dataValidation type="list" allowBlank="1" showInputMessage="1" showErrorMessage="1" sqref="H50">
      <formula1>"0: Not done,10: Policy in place and published"</formula1>
    </dataValidation>
    <dataValidation type="list" allowBlank="1" showInputMessage="1" showErrorMessage="1" sqref="H51">
      <formula1>"0: No items completed,2: 1 item completed,4: 2 items completed,6: 3 items completed,8: 4 items completed,10: 5 items completed"</formula1>
    </dataValidation>
    <dataValidation type="list" allowBlank="1" showInputMessage="1" showErrorMessage="1" sqref="H52">
      <formula1>"0: Not done,10: Completed"</formula1>
    </dataValidation>
    <dataValidation type="list" allowBlank="1" showInputMessage="1" showErrorMessage="1" sqref="H53">
      <formula1>"0: No teardown/shutdown policy,3: Published policy,6: Classification tagged or otherwise identifiable,10: Enforced Policy with tagged/identifiable classifications"</formula1>
    </dataValidation>
    <dataValidation type="list" allowBlank="1" showInputMessage="1" showErrorMessage="1" sqref="H54">
      <formula1>"0: 0%,1: 10%,2: 20%,3: 30%,4: 40%,5: 50%,6: 60%,7: 70%,8: 80%,9: 90%,10: Near 100%"</formula1>
    </dataValidation>
    <dataValidation type="list" allowBlank="1" showInputMessage="1" showErrorMessage="1" sqref="H55">
      <formula1>"0: Not done,10: Completed"</formula1>
    </dataValidation>
    <dataValidation type="list" allowBlank="1" showInputMessage="1" showErrorMessage="1" sqref="H56">
      <formula1>"0: Not done,10: Completed"</formula1>
    </dataValidation>
    <dataValidation type="list" allowBlank="1" showInputMessage="1" showErrorMessage="1" sqref="H57">
      <formula1>"0: Not done,10: Completed"</formula1>
    </dataValidation>
    <dataValidation type="list" allowBlank="1" showInputMessage="1" showErrorMessage="1" sqref="H58">
      <formula1>"0: No items completed,5: 1 item completed,10: 2 items completed"</formula1>
    </dataValidation>
    <dataValidation type="list" allowBlank="1" showInputMessage="1" showErrorMessage="1" sqref="H59">
      <formula1>"0: 0%,1: 10%,2: 20%,3: 30%,4: 40%,5: 50%,6: 60%,7: 70%,8: 80% ,9: 90%,10: Near 100%"</formula1>
    </dataValidation>
    <dataValidation type="list" allowBlank="1" showInputMessage="1" showErrorMessage="1" sqref="H60">
      <formula1>"0: No items completed,5: 1 item  completed,10: 2 items completed"</formula1>
    </dataValidation>
    <dataValidation type="list" allowBlank="1" showInputMessage="1" showErrorMessage="1" sqref="H61">
      <formula1>"0: 0%,1: 10%,2: 20%,3: 30%,4: 40%,5: 50%,6: 60%,7: 70%,8: 80%,9: 90%,10: Near 100%"</formula1>
    </dataValidation>
    <dataValidation type="list" allowBlank="1" showInputMessage="1" showErrorMessage="1" sqref="H62">
      <formula1>"0: 0%,1: 10%,2: 20%,3: 30%,4: 40%,5: 50%,6: 60%,7: 70%,8: 80%,9: 90%,10: Near 100%"</formula1>
    </dataValidation>
    <dataValidation type="list" allowBlank="1" showInputMessage="1" showErrorMessage="1" sqref="H63">
      <formula1>"0: No items completed,3: 1 item completed,5: 2 items completed,8: 3 items completed,10: 4 items completed"</formula1>
    </dataValidation>
    <dataValidation type="list" allowBlank="1" showInputMessage="1" showErrorMessage="1" sqref="H64">
      <formula1>"0: No items completed,2: 1 item completed,4: 2 items completed,6: 3 items completed,8: 4 items completed,10: 5 items completed"</formula1>
    </dataValidation>
    <dataValidation type="list" allowBlank="1" showInputMessage="1" showErrorMessage="1" sqref="H65">
      <formula1>"0: No items completed,2: 1 item completed,4: 2 items completed,5: 3 items completed,7: 4 items completed,9: 5 items completed,10: 6 items completed"</formula1>
    </dataValidation>
    <dataValidation type="list" allowBlank="1" showInputMessage="1" showErrorMessage="1" sqref="H66">
      <formula1>"0: No alerting to any owners,1: Alerting in at least one owner,3: Alerting to some owners [&gt;20%],6: Alerting to most owners [&gt;60%],10: Alerting to all owners [100%]"</formula1>
    </dataValidation>
    <dataValidation type="list" allowBlank="1" showInputMessage="1" showErrorMessage="1" sqref="H67">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H68">
      <formula1>"0: Never,1: Monthly or greater,2: More than a week,3: 7 days,4: 5 days,6: 2 days,8: 1 day,10: Instant"</formula1>
    </dataValidation>
    <dataValidation type="list" allowBlank="1" showInputMessage="1" showErrorMessage="1" sqref="H69">
      <formula1>"0: No items completed,2: 1 items completed,3: 2 items completed,5: 3 items completed,6: 4 items completed,8: 5 items completed,9: 6 items completed,10: 7 items completed"</formula1>
    </dataValidation>
    <dataValidation type="list" allowBlank="1" showInputMessage="1" showErrorMessage="1" sqref="H70">
      <formula1>"0: No items completed,2: 1 items completed,3: 2 items completed,5: 3 items completed,6: 4 items completed,8: 5 items completed,9: 6 items completed,10: 7 items completed"</formula1>
    </dataValidation>
    <dataValidation type="list" allowBlank="1" showInputMessage="1" showErrorMessage="1" sqref="H71">
      <formula1>"0: Never,1: Monthly or greater,2: More than a week,3: 7 days,4: 5 days,6: 2 days,8: 1 day,10: Instant"</formula1>
    </dataValidation>
    <dataValidation type="list" allowBlank="1" showInputMessage="1" showErrorMessage="1" sqref="H72">
      <formula1>"0: Not done,10: Completed"</formula1>
    </dataValidation>
    <dataValidation type="list" allowBlank="1" showInputMessage="1" showErrorMessage="1" sqref="H73">
      <formula1>"0: No items completed,3: 1 item completed,5: 2 items completed,8: 3 items completed,10: 4 items completed"</formula1>
    </dataValidation>
    <dataValidation type="list" allowBlank="1" showInputMessage="1" showErrorMessage="1" sqref="H74">
      <formula1>"0: No items completed,3: 1 item completed,5: 2 items completed,8: 3 items completed,10: 4 items completed"</formula1>
    </dataValidation>
    <dataValidation type="list" allowBlank="1" showInputMessage="1" showErrorMessage="1" sqref="H75">
      <formula1>"0: Not done,10: Completed"</formula1>
    </dataValidation>
    <dataValidation type="list" allowBlank="1" showInputMessage="1" showErrorMessage="1" sqref="H76">
      <formula1>"0: No alerting in workflow tools,1: Alerting in at least one tool,3: Alerting in some tooling [&gt;20%],6: Alerting in most tooling [&gt;60%],10: Alerting in all workflow tools [100%]"</formula1>
    </dataValidation>
    <dataValidation type="list" allowBlank="1" showInputMessage="1" showErrorMessage="1" sqref="H77">
      <formula1>"0: Not done,10: Completed"</formula1>
    </dataValidation>
    <dataValidation type="list" allowBlank="1" showInputMessage="1" showErrorMessage="1" sqref="H78">
      <formula1>"0: Not done,10: Completed"</formula1>
    </dataValidation>
    <dataValidation type="list" allowBlank="1" showInputMessage="1" showErrorMessage="1" sqref="H79">
      <formula1>"0: No review of trends,3: Manual review of trends,6: Automated trend detection,10: Manual review and automated trend detection"</formula1>
    </dataValidation>
    <dataValidation type="list" allowBlank="1" showInputMessage="1" showErrorMessage="1" sqref="H80">
      <formula1>"0: Does not exist,10: Exists"</formula1>
    </dataValidation>
    <dataValidation type="list" allowBlank="1" showInputMessage="1" showErrorMessage="1" sqref="H81">
      <formula1>"0: Does not exist,10: Exists"</formula1>
    </dataValidation>
    <dataValidation type="list" allowBlank="1" showInputMessage="1" showErrorMessage="1" sqref="H82">
      <formula1>"0: Not done,10: Completed"</formula1>
    </dataValidation>
    <dataValidation type="list" allowBlank="1" showInputMessage="1" showErrorMessage="1" sqref="H83">
      <formula1>"0: Not done,10: Completed"</formula1>
    </dataValidation>
    <dataValidation type="list" allowBlank="1" showInputMessage="1" showErrorMessage="1" sqref="H84">
      <formula1>"0: Not done,10: Completed"</formula1>
    </dataValidation>
    <dataValidation type="list" allowBlank="1" showInputMessage="1" showErrorMessage="1" sqref="H85">
      <formula1>"0: Not done,10: Completed"</formula1>
    </dataValidation>
    <dataValidation type="list" allowBlank="1" showInputMessage="1" showErrorMessage="1" sqref="H86">
      <formula1>"0: No items completed,3: 1 item completed,5: 2 items completed,8: 3 items completed,10: 4 items completed"</formula1>
    </dataValidation>
    <dataValidation type="list" allowBlank="1" showInputMessage="1" showErrorMessage="1" sqref="H87">
      <formula1>"0: None,1: Annual,2: Quarterly,5: Monthly,7: Bi-Weekly,8: Weekly,10: Daily"</formula1>
    </dataValidation>
    <dataValidation type="list" allowBlank="1" showInputMessage="1" showErrorMessage="1" sqref="H88">
      <formula1>"0: 0%,1: 10%,2: 20%,3: 30%,4: 40%,5: 50%,6: 60%,7: 70%,8: 80%,9: 90%,10: Near 100%"</formula1>
    </dataValidation>
    <dataValidation type="list" allowBlank="1" showInputMessage="1" showErrorMessage="1" sqref="H89">
      <formula1>"0: No alerting,10: Alerting exists"</formula1>
    </dataValidation>
    <dataValidation type="list" allowBlank="1" showInputMessage="1" showErrorMessage="1" sqref="H90">
      <formula1>"0: No items completed,3: 1 item completed,5: 2 items completed,8: 3 items completed,10: 4 items completed"</formula1>
    </dataValidation>
    <dataValidation type="list" allowBlank="1" showInputMessage="1" showErrorMessage="1" sqref="H91">
      <formula1>"0: No items completed,2: 1 item completed,4: 2 items completed,6: 3 items completed,8: 4 items completed,10: 5 items completed"</formula1>
    </dataValidation>
    <dataValidation type="list" allowBlank="1" showInputMessage="1" showErrorMessage="1" sqref="H92">
      <formula1>"0: No items completed,2: 1 item completed,4: 2 items completed,6: 3 items completed,8: 4 items completed,10: 5 items completed"</formula1>
    </dataValidation>
    <dataValidation type="list" allowBlank="1" showInputMessage="1" showErrorMessage="1" sqref="H93">
      <formula1>"0: No items completed,2: 1 item completed,4: 2 items completed,6: 3 items completed,8: 4 items completed,10: 5 items completed"</formula1>
    </dataValidation>
    <dataValidation type="list" allowBlank="1" showInputMessage="1" showErrorMessage="1" sqref="H94">
      <formula1>"0: No items completed,5: item 1 completed,10: item 2 completed"</formula1>
    </dataValidation>
    <dataValidation type="list" allowBlank="1" showInputMessage="1" showErrorMessage="1" sqref="H95">
      <formula1>"0: No items completed,4: 1 item completed,7: 2 items completed,10: 3 items completed"</formula1>
    </dataValidation>
    <dataValidation type="list" allowBlank="1" showInputMessage="1" showErrorMessage="1" sqref="H96">
      <formula1>"0: 0%,1: 10%,2: 20%,3: 30%,4: 40%,5: 50%,6: 60%,7: 70%,8: 80%,9: 90%,10: Near 100%"</formula1>
    </dataValidation>
    <dataValidation type="list" allowBlank="1" showInputMessage="1" showErrorMessage="1" sqref="H97">
      <formula1>"0: No items completed,3: 1 item completed,5: 2 items completed,8: 3 items completed,10: 4 items completed"</formula1>
    </dataValidation>
    <dataValidation type="list" allowBlank="1" showInputMessage="1" showErrorMessage="1" sqref="H98">
      <formula1>"0: No items completed,3: 1 item completed,5: 2 items completed,8: 3 items completed,10: 4 items completed"</formula1>
    </dataValidation>
    <dataValidation type="list" allowBlank="1" showInputMessage="1" showErrorMessage="1" sqref="H99">
      <formula1>"0: No items completed,2: 1 item completed,4: 2 items completed,5: 3 items completed,7: 4 items completed,9: 5 items completed,10: 6 items completed"</formula1>
    </dataValidation>
    <dataValidation type="list" allowBlank="1" showInputMessage="1" showErrorMessage="1" sqref="H100">
      <formula1>"0: No items completed,2: 1 item completed,4: 2 items completed,5: 3 items completed,7: 4 items completed,9: 5 items completed,10: 6 items completed"</formula1>
    </dataValidation>
    <dataValidation type="list" allowBlank="1" showInputMessage="1" showErrorMessage="1" sqref="H101">
      <formula1>"0: No items completed,3: 1 item completed,5: 2 items completed,8: 3 items completed,10: 4 items completed"</formula1>
    </dataValidation>
    <dataValidation type="list" allowBlank="1" showInputMessage="1" showErrorMessage="1" sqref="H102">
      <formula1>"0: No items completed,3: 1 item completed,5: 2 items completed,8: 3 items completed,10: 4 items completed"</formula1>
    </dataValidation>
    <dataValidation type="list" allowBlank="1" showInputMessage="1" showErrorMessage="1" sqref="H103">
      <formula1>"0: None,10: communicates wins in KPI thresholds and unit costs"</formula1>
    </dataValidation>
    <dataValidation type="list" allowBlank="1" showInputMessage="1" showErrorMessage="1" sqref="H104">
      <formula1>"0: Not monitored,2: Reported,5: Manual remediation,10: Automated remediation"</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2026-06-17T02:26:08Z</dcterms:created>
  <dcterms:modified xsi:type="dcterms:W3CDTF">2026-06-17T02:26:08Z</dcterms:modified>
</cp:coreProperties>
</file>