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Maturity - Domains" sheetId="2" r:id="rId2"/>
    <sheet name="Maturity - Capabilities" sheetId="3" r:id="rId3"/>
    <sheet name="Scoring" sheetId="4" r:id="rId4"/>
  </sheets>
  <calcPr calcId="124519" fullCalcOnLoad="1"/>
</workbook>
</file>

<file path=xl/sharedStrings.xml><?xml version="1.0" encoding="utf-8"?>
<sst xmlns="http://schemas.openxmlformats.org/spreadsheetml/2006/main" count="1187" uniqueCount="423">
  <si>
    <t>Sum of Weights</t>
  </si>
  <si>
    <t>Maximum Possible Score</t>
  </si>
  <si>
    <t>Calculated Weighted Average Score</t>
  </si>
  <si>
    <t>Difference from Maximum Score</t>
  </si>
  <si>
    <t>Domain</t>
  </si>
  <si>
    <t>Action Count</t>
  </si>
  <si>
    <t>Governance</t>
  </si>
  <si>
    <t>Manage the FinOps Practice</t>
  </si>
  <si>
    <t>Quantify Business Value</t>
  </si>
  <si>
    <t>Usage &amp; Cost</t>
  </si>
  <si>
    <t>Capability</t>
  </si>
  <si>
    <t>Allocation</t>
  </si>
  <si>
    <t>Anomaly Management</t>
  </si>
  <si>
    <t>Architecting &amp; Workload Placement</t>
  </si>
  <si>
    <t>Automation, Tools &amp; Services</t>
  </si>
  <si>
    <t>Budgeting</t>
  </si>
  <si>
    <t>Data Ingestion</t>
  </si>
  <si>
    <t>Executive Strategy Alignment</t>
  </si>
  <si>
    <t>FinOps Assessment</t>
  </si>
  <si>
    <t>FinOps Education &amp; Enablement</t>
  </si>
  <si>
    <t>FinOps Practice Operations</t>
  </si>
  <si>
    <t>Forecasting</t>
  </si>
  <si>
    <t>Intersecting Disciplines</t>
  </si>
  <si>
    <t>Invoicing &amp; Chargeback</t>
  </si>
  <si>
    <t>KPIs &amp; Benchmarking</t>
  </si>
  <si>
    <t>Licensing &amp; SaaS</t>
  </si>
  <si>
    <t>Planning &amp; Estimating</t>
  </si>
  <si>
    <t>Policy</t>
  </si>
  <si>
    <t>Rate Optimization</t>
  </si>
  <si>
    <t>Reporting &amp; Analytics</t>
  </si>
  <si>
    <t>Unit Economics</t>
  </si>
  <si>
    <t>Usage Optimization</t>
  </si>
  <si>
    <t>serial number</t>
  </si>
  <si>
    <t>version</t>
  </si>
  <si>
    <t>weights</t>
  </si>
  <si>
    <t>formula</t>
  </si>
  <si>
    <t>scoring</t>
  </si>
  <si>
    <t>weighted score</t>
  </si>
  <si>
    <t>_domain</t>
  </si>
  <si>
    <t>_capability</t>
  </si>
  <si>
    <t>domain</t>
  </si>
  <si>
    <t>capability</t>
  </si>
  <si>
    <t>action</t>
  </si>
  <si>
    <t>Define Assessment Scope &amp; Goals</t>
  </si>
  <si>
    <t>Collect Standardized Assessment Inputs</t>
  </si>
  <si>
    <t>Establish Baselines &amp; Identify Trends</t>
  </si>
  <si>
    <t>Prioritize Actions &amp; Publish Roadmap</t>
  </si>
  <si>
    <t>Reassess Progress &amp; Update Priorities</t>
  </si>
  <si>
    <t>Assess Skills &amp; Training Needs</t>
  </si>
  <si>
    <t>Develop Role-Based Learning Content</t>
  </si>
  <si>
    <t>Offer Certifications &amp; Informal Learning</t>
  </si>
  <si>
    <t>Leverage Vendor Training Resources</t>
  </si>
  <si>
    <t>Track Training Impact &amp; Refresh Content</t>
  </si>
  <si>
    <t>Define Org Model &amp; Budget</t>
  </si>
  <si>
    <t>Create Implementation Roadmap</t>
  </si>
  <si>
    <t>Integrate Cost Data in Workflows</t>
  </si>
  <si>
    <t>Publish FinOps KPIs</t>
  </si>
  <si>
    <t>Drive Stakeholder Engagement</t>
  </si>
  <si>
    <t>Automate Tasks &amp; Review Maturity</t>
  </si>
  <si>
    <t>Assess Tooling Needs &amp; Criteria</t>
  </si>
  <si>
    <t>Evaluate Build vs Buy Options</t>
  </si>
  <si>
    <t>Implement &amp; Configure Tools</t>
  </si>
  <si>
    <t>Train Users &amp; Integrate Data</t>
  </si>
  <si>
    <t>Monitor Adoption &amp; Iterate Tools</t>
  </si>
  <si>
    <t>Establish Cross-Team Collab</t>
  </si>
  <si>
    <t>Align Goals &amp; Data Models</t>
  </si>
  <si>
    <t>Share Reporting &amp; Definitions</t>
  </si>
  <si>
    <t>Provide Technology Metrics to Teams</t>
  </si>
  <si>
    <t>Coordinate Policy Changes Broadly</t>
  </si>
  <si>
    <t>Drive Adoption &amp; Resolve Conflicts</t>
  </si>
  <si>
    <t>Map Invoices to Allocation Model</t>
  </si>
  <si>
    <t>Reconcile Rates &amp; Track Completion</t>
  </si>
  <si>
    <t>Design Chargeback with Finance</t>
  </si>
  <si>
    <t>Automate Chargeback Data Flows</t>
  </si>
  <si>
    <t>Distribute Reports &amp; Track Accuracy</t>
  </si>
  <si>
    <t>Resolve Variances &amp; Increase Coverage</t>
  </si>
  <si>
    <t>Establish Executive Sponsorship</t>
  </si>
  <si>
    <t>Define Decision Rights &amp; Guardrails</t>
  </si>
  <si>
    <t>Build Multi-Year Investment Forecast</t>
  </si>
  <si>
    <t>Establish Decision Support Cadence</t>
  </si>
  <si>
    <t>Establish Architecture Review Process</t>
  </si>
  <si>
    <t>Assess Workloads for Modernization</t>
  </si>
  <si>
    <t>Estimate Trade-Offs &amp; Document Cases</t>
  </si>
  <si>
    <t>Implement Iteratively &amp; Measure Results</t>
  </si>
  <si>
    <t>Publish Benefits &amp; Update References</t>
  </si>
  <si>
    <t>Strengthen Architecture Collaboration</t>
  </si>
  <si>
    <t>Create Workload Selection Criteria</t>
  </si>
  <si>
    <t>Define Success Criteria &amp; Scope</t>
  </si>
  <si>
    <t>Enforce Tagging at Onboarding</t>
  </si>
  <si>
    <t>Align Timelines with Budgets</t>
  </si>
  <si>
    <t>Start with Lower Environments</t>
  </si>
  <si>
    <t>Review Outcomes &amp; Adjust Patterns</t>
  </si>
  <si>
    <t>Inventory Licenses &amp; Map Resources</t>
  </si>
  <si>
    <t>Document Licensing Models</t>
  </si>
  <si>
    <t>Integrate Billing with Procurement</t>
  </si>
  <si>
    <t>Validate Utilization &amp; Remediate</t>
  </si>
  <si>
    <t>Influence Workload Design Choices</t>
  </si>
  <si>
    <t>Publish License Spend &amp; Utilization</t>
  </si>
  <si>
    <t>Document Commitment Strategy</t>
  </si>
  <si>
    <t>Build Commitment Analysis Process</t>
  </si>
  <si>
    <t>Purchase Commitments Regularly</t>
  </si>
  <si>
    <t>Track ROI &amp; Notify Owners</t>
  </si>
  <si>
    <t>Allocate Upfront Costs Transparently</t>
  </si>
  <si>
    <t>Leverage Spot &amp; Negotiated Discounts</t>
  </si>
  <si>
    <t>Define Optimization Strategy</t>
  </si>
  <si>
    <t>Inventory &amp; Classify Workloads</t>
  </si>
  <si>
    <t>Collect Metrics &amp; Identify Candidates</t>
  </si>
  <si>
    <t>Partner on Scheduling Actions</t>
  </si>
  <si>
    <t>Gamify Adoption &amp; Celebrate Wins</t>
  </si>
  <si>
    <t>Track KPIs &amp; Document Playbooks</t>
  </si>
  <si>
    <t>Define Metadata &amp; Hierarchy Strategy</t>
  </si>
  <si>
    <t>Identify Shared Costs &amp; Rules</t>
  </si>
  <si>
    <t>Publish Allocation Taxonomy</t>
  </si>
  <si>
    <t>Implement Tagging Standards</t>
  </si>
  <si>
    <t>Validate Compliance &amp; Report Gaps</t>
  </si>
  <si>
    <t>Automate Tagging &amp; Enforcement</t>
  </si>
  <si>
    <t>Iterate Strategies &amp; Communicate</t>
  </si>
  <si>
    <t>Configure Cost Spike Detection</t>
  </si>
  <si>
    <t>Define Severity &amp; Response SLAs</t>
  </si>
  <si>
    <t>Automate Alert Routing</t>
  </si>
  <si>
    <t>Record Anomaly Context &amp; Timeline</t>
  </si>
  <si>
    <t>Analyze Root Causes &amp; Fix Issues</t>
  </si>
  <si>
    <t>Track Metrics &amp; Avoidance Rates</t>
  </si>
  <si>
    <t>Tune Thresholds to Reduce Noise</t>
  </si>
  <si>
    <t>Inventory All Data Sources</t>
  </si>
  <si>
    <t>Choose Data Landing Tooling</t>
  </si>
  <si>
    <t>Create Landing Zones &amp; Controls</t>
  </si>
  <si>
    <t>Define Data Granularity &amp; Frequency</t>
  </si>
  <si>
    <t>Document Normalization Rules</t>
  </si>
  <si>
    <t>Implement Data Quality Checks</t>
  </si>
  <si>
    <t>Build Ingestion Anomaly Dashboards</t>
  </si>
  <si>
    <t>Optimize Pipelines for Timeliness</t>
  </si>
  <si>
    <t>Define Data Ingestion Requirements</t>
  </si>
  <si>
    <t>Gather Requirements &amp; Define KPIs</t>
  </si>
  <si>
    <t>Enrich Billing with Business Logic</t>
  </si>
  <si>
    <t>Build Dashboards for All Views</t>
  </si>
  <si>
    <t>Publish Documentation &amp; Support</t>
  </si>
  <si>
    <t>Embed Reports in Workflows</t>
  </si>
  <si>
    <t>Track Adoption &amp; Manage Changes</t>
  </si>
  <si>
    <t>Iterate Based on Feedback</t>
  </si>
  <si>
    <t>Select KPIs &amp; Measurement Scope</t>
  </si>
  <si>
    <t>Validate Tagging for Comparability</t>
  </si>
  <si>
    <t>Choose Internal vs External Benchmarks</t>
  </si>
  <si>
    <t>Stand Up Internal Benchmarking</t>
  </si>
  <si>
    <t>Track Trends &amp; Compare Over Time</t>
  </si>
  <si>
    <t>Translate Gaps to Initiatives</t>
  </si>
  <si>
    <t>Define Budgeting Strategy</t>
  </si>
  <si>
    <t>Integrate Rolling Forecasts</t>
  </si>
  <si>
    <t>Increase Shared Cost Coverage</t>
  </si>
  <si>
    <t>Publish Budget vs Actual Reports</t>
  </si>
  <si>
    <t>Automate Budget Threshold Alerts</t>
  </si>
  <si>
    <t>Review &amp; Adapt Budget Strategy</t>
  </si>
  <si>
    <t>Establish Forecasting Approach</t>
  </si>
  <si>
    <t>Collect Business Drivers Regularly</t>
  </si>
  <si>
    <t>Run &amp; Refresh Rolling Forecasts</t>
  </si>
  <si>
    <t>Compare Forecast to Actual</t>
  </si>
  <si>
    <t>Automate Variance Alerts</t>
  </si>
  <si>
    <t>Feed Learnings into Budgeting &amp; Commitments</t>
  </si>
  <si>
    <t>Define Estimating Scope &amp; Policy</t>
  </si>
  <si>
    <t>Agree on Pricing Assumptions</t>
  </si>
  <si>
    <t>Select Estimation Methods</t>
  </si>
  <si>
    <t>Include Sustainability Impacts</t>
  </si>
  <si>
    <t>Establish Scenario Decision Process</t>
  </si>
  <si>
    <t>Report Estimate Accuracy</t>
  </si>
  <si>
    <t>Coach Engineering on Estimates</t>
  </si>
  <si>
    <t>Define Business-Relevant Units</t>
  </si>
  <si>
    <t>Document Inputs &amp; Formulas</t>
  </si>
  <si>
    <t>Build Unit Cost Dashboards</t>
  </si>
  <si>
    <t>Set Review Cadence &amp; Targets</t>
  </si>
  <si>
    <t>Use Metrics to Prioritize Investments</t>
  </si>
  <si>
    <t>Communicate Unit Cost Wins</t>
  </si>
  <si>
    <t>Draft Cloud Financial Policies</t>
  </si>
  <si>
    <t>Publish Guidelines &amp; Guardrails</t>
  </si>
  <si>
    <t>Educate Stakeholders on Policy</t>
  </si>
  <si>
    <t>Monitor Compliance &amp; Report Breaches</t>
  </si>
  <si>
    <t>Iterate Policies Based on Feedback</t>
  </si>
  <si>
    <t>113</t>
  </si>
  <si>
    <t>114</t>
  </si>
  <si>
    <t>115</t>
  </si>
  <si>
    <t>116</t>
  </si>
  <si>
    <t>117</t>
  </si>
  <si>
    <t>097</t>
  </si>
  <si>
    <t>098</t>
  </si>
  <si>
    <t>099</t>
  </si>
  <si>
    <t>100</t>
  </si>
  <si>
    <t>101</t>
  </si>
  <si>
    <t>091</t>
  </si>
  <si>
    <t>092</t>
  </si>
  <si>
    <t>093</t>
  </si>
  <si>
    <t>094</t>
  </si>
  <si>
    <t>095</t>
  </si>
  <si>
    <t>096</t>
  </si>
  <si>
    <t>124</t>
  </si>
  <si>
    <t>125</t>
  </si>
  <si>
    <t>126</t>
  </si>
  <si>
    <t>127</t>
  </si>
  <si>
    <t>128</t>
  </si>
  <si>
    <t>129</t>
  </si>
  <si>
    <t>130</t>
  </si>
  <si>
    <t>131</t>
  </si>
  <si>
    <t>132</t>
  </si>
  <si>
    <t>133</t>
  </si>
  <si>
    <t>134</t>
  </si>
  <si>
    <t>107</t>
  </si>
  <si>
    <t>108</t>
  </si>
  <si>
    <t>109</t>
  </si>
  <si>
    <t>110</t>
  </si>
  <si>
    <t>111</t>
  </si>
  <si>
    <t>112</t>
  </si>
  <si>
    <t>136</t>
  </si>
  <si>
    <t>137</t>
  </si>
  <si>
    <t>138</t>
  </si>
  <si>
    <t>139</t>
  </si>
  <si>
    <t>061</t>
  </si>
  <si>
    <t>062</t>
  </si>
  <si>
    <t>063</t>
  </si>
  <si>
    <t>064</t>
  </si>
  <si>
    <t>065</t>
  </si>
  <si>
    <t>066</t>
  </si>
  <si>
    <t>118</t>
  </si>
  <si>
    <t>119</t>
  </si>
  <si>
    <t>120</t>
  </si>
  <si>
    <t>121</t>
  </si>
  <si>
    <t>122</t>
  </si>
  <si>
    <t>123</t>
  </si>
  <si>
    <t>073</t>
  </si>
  <si>
    <t>074</t>
  </si>
  <si>
    <t>075</t>
  </si>
  <si>
    <t>076</t>
  </si>
  <si>
    <t>077</t>
  </si>
  <si>
    <t>078</t>
  </si>
  <si>
    <t>079</t>
  </si>
  <si>
    <t>080</t>
  </si>
  <si>
    <t>081</t>
  </si>
  <si>
    <t>082</t>
  </si>
  <si>
    <t>083</t>
  </si>
  <si>
    <t>084</t>
  </si>
  <si>
    <t>067</t>
  </si>
  <si>
    <t>068</t>
  </si>
  <si>
    <t>069</t>
  </si>
  <si>
    <t>070</t>
  </si>
  <si>
    <t>071</t>
  </si>
  <si>
    <t>072</t>
  </si>
  <si>
    <t>009</t>
  </si>
  <si>
    <t>010</t>
  </si>
  <si>
    <t>011</t>
  </si>
  <si>
    <t>012</t>
  </si>
  <si>
    <t>013</t>
  </si>
  <si>
    <t>014</t>
  </si>
  <si>
    <t>015</t>
  </si>
  <si>
    <t>023</t>
  </si>
  <si>
    <t>024</t>
  </si>
  <si>
    <t>025</t>
  </si>
  <si>
    <t>026</t>
  </si>
  <si>
    <t>027</t>
  </si>
  <si>
    <t>028</t>
  </si>
  <si>
    <t>029</t>
  </si>
  <si>
    <t>001</t>
  </si>
  <si>
    <t>002</t>
  </si>
  <si>
    <t>003</t>
  </si>
  <si>
    <t>004</t>
  </si>
  <si>
    <t>005</t>
  </si>
  <si>
    <t>006</t>
  </si>
  <si>
    <t>007</t>
  </si>
  <si>
    <t>008</t>
  </si>
  <si>
    <t>135</t>
  </si>
  <si>
    <t>016</t>
  </si>
  <si>
    <t>017</t>
  </si>
  <si>
    <t>018</t>
  </si>
  <si>
    <t>019</t>
  </si>
  <si>
    <t>020</t>
  </si>
  <si>
    <t>021</t>
  </si>
  <si>
    <t>022</t>
  </si>
  <si>
    <t>049</t>
  </si>
  <si>
    <t>050</t>
  </si>
  <si>
    <t>051</t>
  </si>
  <si>
    <t>052</t>
  </si>
  <si>
    <t>053</t>
  </si>
  <si>
    <t>054</t>
  </si>
  <si>
    <t>043</t>
  </si>
  <si>
    <t>044</t>
  </si>
  <si>
    <t>045</t>
  </si>
  <si>
    <t>046</t>
  </si>
  <si>
    <t>047</t>
  </si>
  <si>
    <t>048</t>
  </si>
  <si>
    <t>037</t>
  </si>
  <si>
    <t>038</t>
  </si>
  <si>
    <t>039</t>
  </si>
  <si>
    <t>040</t>
  </si>
  <si>
    <t>041</t>
  </si>
  <si>
    <t>042</t>
  </si>
  <si>
    <t>030</t>
  </si>
  <si>
    <t>031</t>
  </si>
  <si>
    <t>032</t>
  </si>
  <si>
    <t>033</t>
  </si>
  <si>
    <t>034</t>
  </si>
  <si>
    <t>035</t>
  </si>
  <si>
    <t>036</t>
  </si>
  <si>
    <t>055</t>
  </si>
  <si>
    <t>056</t>
  </si>
  <si>
    <t>057</t>
  </si>
  <si>
    <t>058</t>
  </si>
  <si>
    <t>059</t>
  </si>
  <si>
    <t>060</t>
  </si>
  <si>
    <t>102</t>
  </si>
  <si>
    <t>103</t>
  </si>
  <si>
    <t>104</t>
  </si>
  <si>
    <t>105</t>
  </si>
  <si>
    <t>106</t>
  </si>
  <si>
    <t>1.1.0</t>
  </si>
  <si>
    <t>1.0.0</t>
  </si>
  <si>
    <t>1.8.0</t>
  </si>
  <si>
    <t>2.1.0</t>
  </si>
  <si>
    <t>2.0.0</t>
  </si>
  <si>
    <t>1.6.1</t>
  </si>
  <si>
    <t>1.9.0</t>
  </si>
  <si>
    <t>* Select which teams or groups are in scope for the planned assessments
* Select which capabilities/actions are in scope for each group's assessment
* Select weights for each included action based on goals of the assessment and importance to the business
* Set a preliminary target score for each included action to use for comparison
10*Ceil(x/4)</t>
  </si>
  <si>
    <t>* Use objective (not subjective) scoring metrics for assessment evaluation
* Document how metrics used in the assessment are calculated and state all assumptions
* Use the same calculation assumptions and formulas across scopes if possible
* List relevant documentation of process and policy as evidentiary support for each score
10*Ceil(x/4)</t>
  </si>
  <si>
    <t>* Complete an initial assessment for different scopes of the business to establish a baseline
* Plot scores over time to track maturity progress for priority scopes
* Complete analysis on what contributed to or hindered progress across scopes or different areas of the assessment
10*Ceil(x/3)</t>
  </si>
  <si>
    <t>1. Invite subject matter experts (SMEs) and leadership to determine which gaps to address first
2. Determine owners for addressing each of the prioritized gaps
3. Owners will work with relevant teams to scope out how to meet the target score for each gap
4. Work is then scheduled in a roadmap with deadlines that can be tracked at the leadership level</t>
  </si>
  <si>
    <t>* Schedule a cadence to report progress outcomes to key stakeholders.
* Create reporting to show progress on key outcomes across all maturity initiatives.
* After successful outcomes are achieved, move on to the next prioritized item in the roadmap.
* Periodically reevaluate the gap analysis and priority list based on lessons learned and new business goals.</t>
  </si>
  <si>
    <t>* Define process for reviewing asking for credits from CSPs
* Define frequency of review, etc.
10*Ceil(x/2)</t>
  </si>
  <si>
    <t>* Weighted sum
  Criteria document (score x3),
  KPI alignment (score x3),
  Stakeholder count capped at 5 (score x2),
  Refresh cadence (score x2).
  Max Raw Score (31)
* Criteria formally documented (0=None, 1=Draft, 2=Approved, 3=Versioned+Reviewed)
* Criteria explicitly mapped to FinOps KPIs (0=None, 1=Partial, 2=Full)
* of FinOps personas involved in criteria definition (0-5)
* Criteria review frequency (0=Never, 1=Ad-hoc, 2=Annual, 3=Quarterly+)
* Output Range (0 - Max Raw)</t>
  </si>
  <si>
    <t xml:space="preserve">* Weighted sum
  TCO (score x3),
  Vendor scoring (score x3),
  Decision document (score x3),
  Rules established (score x1).
  Max Raw Score (29)
* TCO_Analysis - Total Cost of Ownership analysis performed
  (0=None, 1=High-level, 2=Detailed, 3=Validated with Finance)
* Vendor_Scored - Vendor options scored against criteria
  (0=None, 1=Informal, 2=Structured scorecard, 3=Multi-stakeholder RFP)
* Decision_Doc - Build vs Buy decision formally documented and approved
  (0=No, 1=Informal note, 2=Formal doc, 3=Exec-approved+reviewed)
* Rules_Est - Guiding rules / policy established for future decsions
  (0=No rules, 1=Draft, 2=Published+Enforced)
* Output Range (0 - Max Raw)
</t>
  </si>
  <si>
    <t>* Weighted sum
  Env coverage (score x4),
  Data Integration (score x4),
  Tag Config (score x2),
  Config Doc (score x2).
  Max raw (52)
* Env_Coverage - % of cloud environments covered by deployed tools
  (0=0%, 1&lt;50%, 2=50-79%, 3=80-94%, 4=95-99%, 5=100%)
* Data_Integration - Data sources integrated (billing, usage, tags, business context)
  (0=None, 1=Billing Only, 2=+Usage, 3=+Tags, 4=+Business context, 5=All+Automated)
* Tag_Config - Tag/allocation rules configured and enforced tool
  (0=No, 1=Partial manual, 2=Full manual, 3=Automated enforcement)
* Config_Doc - Tool configuration documented and version-controlled
  (0=No rules, 1=Informal, 2=Documented, 3=Version-controlled+Reviewed)
* Output Range (0-52)</t>
  </si>
  <si>
    <t>* Define communication pathways between FinOps and the business
* Conduct trainings or create videos
* Send out period newsletters
* CI/CD governance
* Proactive recommendations at deployment
10*Ceil(x/5)</t>
  </si>
  <si>
    <t>1. Identify key stakeholder teams and key contacts for each (ITAM, SRE, etc.)
2. Document initial thoughts on how this other team may help FinOps goals
3. Document initial thoughts on how the FinOps team may help the other team's goals
4. Reach out to the other team with the initial summary of goals
5. Meet with the other team to better understand how they work</t>
  </si>
  <si>
    <t>* Align on new shared goals that will enhance both teams achievements
* Determine what data is shared across teams to establish a single source of truth
* Identify and agree on tasks that will lead to accomplishing shared goals
* Determine which teams have capacity to work on goal tasks periodically
* Incorporate tasks into team capacity planning and dependency workflows
10*Ceil(x/5)</t>
  </si>
  <si>
    <t>* Agree on definitions of shared concepts across teams to reduce confusion
* Adjust reporting so shared metrics are consistent and from the same source, even if multiple dashboards exist
* Regularly align on interpretation of shared metrics to plan next steps and report those to leadership
10*Ceil(x/3)</t>
  </si>
  <si>
    <t>* Share relevant data already maintained and tracked by FinOps
* Share metric reporting and the calculations behind FinOps created metrics
* Create new metrics from FinOps and other data based on needs of allied teams
10*Ceil(x/3)</t>
  </si>
  <si>
    <t>1. Document new policies as a result of cross-functional collaboration goals
2. Broad policy changes are accepted by governing and stakeholder teams
3. Communication is distributed by all governing teams using shared language
4. Change management procedures are followed for updated policy implementation
10*Ceil(x/4)</t>
  </si>
  <si>
    <t>* Come up with shared responses as allied teams to external conflicts
* Resolve internal conflicts before deciding on the next steps needed to reach shared goals
* Communication to external teams or leaders includes the full story of how allied teams achieve goals together
10*Ceil(x/3)</t>
  </si>
  <si>
    <t>* Document decision rights and approval authority for technology spend
* Define and publish spend guardrails with named owners
* Establish escalation path for spend exceptions
10*Ceil(x/3)</t>
  </si>
  <si>
    <t>* Inventory vendor commitments across technology categories (cloud, SaaS, data center, AI)
* Create a multi-year forecast incorporating renewal timelines and growth projections
* Incorporate transition and modernization costs into the investment plan
10*Ceil(x/3)</t>
  </si>
  <si>
    <t>* Define a regular review cadence for technology investment decisions
* Deliver cost and outcome comparisons for competing initiatives at reviews
* Track and report action follow-through from investment decisions
10*Ceil(x/3)</t>
  </si>
  <si>
    <t>* Define process to address notifications from CSPs
* Define cadence for review
* Define exception criteria
* Define thresholds to change
* Combine with architecture analysis for SP &amp; RIs
10*Ceil(x/5)</t>
  </si>
  <si>
    <t>* Implement architecture changes in time boxed iterations rather than big migrations
* Track actual cost outcomes vs estimated savings documented in prior trade off analysis
* Define and monitor success metrics (cost delta, performance, reliability) for each iteration
* Hold structured retrospectives after each iteration to capture lessons learned
* Feed iteration outcomes back into the modernization backlog to reprioritize remaining work
10*Ceil(x/5)</t>
  </si>
  <si>
    <t>* Document and publish cost savings and performance outcomes achieved through architecture changes
* Update internal architecture reference guides and design patterns with validated approaches
* Share case studies and reusable blueprints with engineering teams to accelerate adoption
* Establish a regular cadence to refresh published benefits data and retire outdated references
10*Ceil(x/4)</t>
  </si>
  <si>
    <t>* Process defined for new accounts and resources deployed
* Train teams on process
* Automate process
10*Ceil(x/3)</t>
  </si>
  <si>
    <t>* Process for evaluating spot periodically
* Tag for date last reviewed
* New deployments get reviewed beforehand
* Define requirements for spot
* Have exception process and expiration date
10*Ceil(x/5)</t>
  </si>
  <si>
    <t>Increasing Granularity and Visibility
* Define metadata to track (org, dept, cost center, team, app, etc.)
* Create the hierarchy for each category of metadata (ex teams per dept, cost centers in an org)
10*Ceil(x/2)</t>
  </si>
  <si>
    <t>Unallocated Shared CSP Effective Cloud Cost/ Total CSP Effective Cloud Cost</t>
  </si>
  <si>
    <t>Increasing Granularity and Visibility
* Document as part of tagging strategy and enforcement
* Teams have visibility into where their resources fit into the hierarchy
10*Ceil(x/2)</t>
  </si>
  <si>
    <t>Percentage of total costs that are tagged for Each Required Tag</t>
  </si>
  <si>
    <t xml:space="preserve">x = Total Effective Costs Associated with Unallocated CSP Cloud Resources During
y = Total CSP Cloud Costs During a Period of Time
x / y
</t>
  </si>
  <si>
    <t>Effectiveness/Effort by strategy
* Manually asking teams to tag resources
* Remove untagged resources after time threshold
* Block deployments without proper tags
* Automatically tag based on CI/CD creator and team
10*Ceil(x/4)</t>
  </si>
  <si>
    <t>* Manual inspection of spikes
* Out-of-the-box tool based anomaly alerts
* Custom simple increase alert calculations
* Custom alerts per business unit, team, etc.
* Alerts per unit costs above thresholds
10*Ceil(x/5)</t>
  </si>
  <si>
    <t xml:space="preserve">* Defined severity tiers
* Thresholds associated with severity tiers are defined
* Defined and adhered to response SLAs
* Published response runbooks
* Runbook percent successful or completed
* RCA completed after alerts
10*Ceil(x/6)
</t>
  </si>
  <si>
    <t>Denominator: all anomalies detected during the review period. A field item is met when the field is
populated on 90% or more of those records.
* Single system of record
* Scope fields populated (billing account, service, region, and a named accountable owner)
* Impact fields populated (variance amount in the reporting currency, and the start and end of the
  period the variance covers)
* Timeline fields populated (first occurrence, detection, notification, and resolution timestamps)
* Disposition field populated (true, expected change, or false)
* Retention and queryability (records retained for at least 13 months and queryable by scope,
  disposition, and root cause)
10*Ceil(x/6)</t>
  </si>
  <si>
    <t>Denominator: anomalies recorded with a true positive disposition during the review period. Items 1
through 4 are met when the stated field is populated on 90% or more of those records.
1. Owner and due date (each record carries a named accountable owner and an analysis due date)
2. Root cause recorded (each record carries a root cause entry naming the change that triggered it)
3. Cause classified (each root cause assigned exactly one category from a published, fixed
   category list)
4. Remediation recorded (each record carries a remediation action, its completion date, and the
   measured spend delta over the period following the fix)
5. Preventive control registered (every cause category observed 3 or more times in the trailing
   12 months has a linked policy, guardrail, budget, or detection rule)
10*Ceil(x/5)</t>
  </si>
  <si>
    <t>* Number of detections per time period
* Number of detections over threshold
* Time to send notifications to stakeholders
* Time to validate anomaly
* Resolution Time/SLA adherence
* False positive rate
* Cost Avoidance due to detection
* Percent anomalies addressed
10*Ceil(x/8)</t>
  </si>
  <si>
    <t>* Weighted sum
  Alert precision (score x4),
  Missed anomalies (score x3),
  Tuning cadence (score x2),
  Tuning governance (score x1).
  Max raw (50)
* Alert_Precision: Alerts confirmed as true positives divided by all alerts raised in the review period
  (0=Not measured, 1&lt;50%, 2=50-69%, 3=70-84%, 4=85-94%, 5=95%+)
* Missed_Anomalies: Share of anomalies first found by invoice review, budget variance, or an owner
  (0=Not measured, 1&gt;25%, 2=10-25%, 3=5-9%, 4=1-4%, 5&lt;1%)
* Tuning_Cadence: How often thresholds are reviewed and adjusted against observed outcomes
  (0=Never, 1=Ad-hoc, 2=Annual, 3=Quarterly, 4=Monthly, 5=Continuous or automated)
* Tuning_Governance: How a threshold change is decided and recorded
  (0=Undocumented, 1=Changed by one person, 2=Documented with rationale,
  3=Reviewed with the alert recipients, 4=Version controlled and auditable,
  5=Version controlled and replayed against historical anomalies before release)
* Output Range (0-50)</t>
  </si>
  <si>
    <t xml:space="preserve">* Define data quality (complete, valid, etc.)
* Manual quality checks
* Automated checks (null % on required fields/tags)
* Response process and triage defined
* SLAs defined and monitored
* Integrate with communication and alerting tools
* Integrate into CI/CD pipelines
10*Ceil(x/7)
</t>
  </si>
  <si>
    <t>Not in order, gain points for each task
* Manual or basic logs
* Define key metrics (failures, latency, etc.)
* Static Dashboard updated manually
* Automated alerts for failures
* Integrate with communication and alerting tools
* Define Process &amp; SLAs:RCAs completed for each
* Tune out false positives
10*Ceil(x/7)</t>
  </si>
  <si>
    <t>* Manual adjustments to invoices and teams
* Define Business Rules for sharing discounts, RI/SP, etc.
* Automate adjustment calculations monthly in arrears
* Automate mappings into reporting platform for realtime adjustments
10*Ceil(x/4)</t>
  </si>
  <si>
    <t>* Dashboard for showback
* Dashboard where teams can dive in to investigate costs
* Ad-hoc dashboards available to teams
* Dashboards for key metrics tracking (tagging, waste, etc.)
10*Ceil(x/4)</t>
  </si>
  <si>
    <t>* Collect data based on existing patterns observed in spend
* Conduct proactive investigations and interviews with teams
* Gather existing self reporting by the business and/or teams
* Factor in expected increases to the forecast model
10*Ceil(x/4)</t>
  </si>
  <si>
    <t>((Forecasted Public Cloud Spend – Actual Public Cloud Spend) / Forecasted Public Cloud Spend)</t>
  </si>
  <si>
    <t>* Periodic review of budget vs forecast
* Track when projects are forecasted to go over budget
* Process to request more budget for projects going over
* RCA to determine cause of budget over run
10*Ceil(x/4)</t>
  </si>
  <si>
    <t>* Defined scope of each project to be estimated
* Developed list of known inputs to the project
* Have a process to determine what may be missing from the inputs or scope
* Have a policy review to determine additional needs for inputs or scope
* For each component of the estimate, list all assumptions
10*Ceil(x/5)</t>
  </si>
  <si>
    <t>* Inventory possible commitment based discounts (RIs, Savings Plans, CUDs, etc.) available for deployed resources
* Consider any private negotiated line item discounts vs public RI/CUD discounts
* Set resource type standards to make use of spend commitments while maintaining needs of the business
* Scenario plan commitment options versus potential changes in resources
* Reference commit allocation strategy to calculate cost impact of shared scope vs private account commitments
10*Ceil(x/5)</t>
  </si>
  <si>
    <t>* Use pricing lists or pricing calculators to estimate workload spend
* Run workloads as trial experiments to get baseline spend
* Estimate workload costs based on similar applications already deployed in your environment
* Determine fixed costs vs formulas for variable costs due to growth of workloads
* Factor in discounts and uptime metrics to determine accurate spend vs list
10*Ceil(x/5)</t>
  </si>
  <si>
    <t>1. Calculate kg of carbon dioxide equivalents (kgCO2e), or similar, for new and ongoing workloads
2. Compare carbon calculations with targets for new projects and overall consumption</t>
  </si>
  <si>
    <t>* Define and follow process for gathering deployment plans from teams
* Determine timeline for each new project to adjust the forecast during that time
* Determine how optimizations and lower run rate will impact the forecast on a rolling basis
10*Ceil(x/3)</t>
  </si>
  <si>
    <t>* Refer teams to Documented Estimating Scope &amp; Policy and include these methods in trainings
* Teams track baseline spend for resources they own, and share changes to baseline with leadership
* Teams will share updates about their change in usage of shared resources and dependencies
* Track team adoption of better estimates via KPIs around baseline or plan vs actuals
10*Ceil(x/4)</t>
  </si>
  <si>
    <t>* Define cost drivers from finance/business
* Gather metrics on a cadence
* Set goals/targets
* Set up forecasting and anomaly detection on units
10*Ceil(x/4)</t>
  </si>
  <si>
    <t>* Identify key business performance data to select from various operational areas
* Agree on source of truth for business data with common terminology
* Clearly define what a unit of value is for each business metric to be tracked
* Agree on which costs to use in calculations (list, discounted, amortized, etc.)
* Define formulas to allocate cost per unit of business value over the same time period to create a KPI
* Changes to data ingestion, metric definitions, or cost allocations are documented and communicated
10*Ceil(x/6)</t>
  </si>
  <si>
    <t>* Continuously collect data over time for all inputs to unit economic equations
* Automate unit economic calculations for each corresponding point in time for cost and business data
* Create plots of unit economic metrics over time to easily report on and track trends
* Show disaggregated data to compare unit metrics with standalone usage or rate changes
* Include filters to show data by each relevant operational area of the business (product/segment/region/etc.)
* Plots and dashboards are easily accessible by key stakeholders across the business
10*Ceil(x/6)</t>
  </si>
  <si>
    <t>* Collaborate with stakeholders on desired acceptable thresholds or goals for each unit economic value
* Review data with stakeholders when metrics exceed acceptable thresholds in either direction
* Incorporate metric reviews into the decision making processes of stakeholder departments
* The FinOps team should periodically publish an analysis of major changes in the metrics dashboards
  as well as facilitate reviews of metrics, adoption data, modifications, and KPI refreshes
10*Ceil(x/4)</t>
  </si>
  <si>
    <t>* Scenario plan for which metric values will drive the next decisions, behaviors, or outcomes needed
* Investigate root causes for changes in metric values to determine next steps
* Add to the backlog which actions are required to get unit metrics to a desired level
* Unit economics influence the decisions in build vs buy, architecture design, workload placement,
  migration, sourcing, pricing, etc.
10*Ceil(x/4)</t>
  </si>
  <si>
    <t>[{'Score': 0, 'Condition': '0 items completed'}, {'Score': 3, 'Condition': '1 item completed'}, {'Score': 5, 'Condition': '2 items completed'}, {'Score': 8, 'Condition': '3 items completed'}, {'Score': 10, 'Condition': '4 items completed'}]</t>
  </si>
  <si>
    <t>[{'Score': 0, 'Condition': 'No items completed'}, {'Score': 3, 'Condition': '1 item completed'}, {'Score': 5, 'Condition': '2 items completed'}, {'Score': 8, 'Condition': '3 items completed'}, {'Score': 10, 'Condition': '4 items completed'}]</t>
  </si>
  <si>
    <t>[{'Score': 0, 'Condition': 'No items completed'}, {'Score': 4, 'Condition': '1 item completed'}, {'Score': 7, 'Condition': '2 items completed'}, {'Score': 10, 'Condition': '3 items completed'}]</t>
  </si>
  <si>
    <t>[{'Score': 0, 'Condition': 'No items completed'}, {'Score': 3, 'Condition': 'item 1 completed'}, {'Score': 5, 'Condition': 'items 1-2 completed'}, {'Score': 8, 'Condition': 'items 1-3 completed'}, {'Score': 10, 'Condition': 'items 1-4 completed'}]</t>
  </si>
  <si>
    <t>[{'Score': 0, 'Condition': 'Not done'}, {'Score': 10, 'Condition': 'Completed'}]</t>
  </si>
  <si>
    <t>[{'Score': 0, 'Condition': 'No items completed'}, {'Score': 5, 'Condition': '1 item completed'}, {'Score': 10, 'Condition': '2 items completed'}]</t>
  </si>
  <si>
    <t>[{'Score': 0, 'Condition': 'Not done'}, {'Score': 10, 'Condition': 'Defined'}]</t>
  </si>
  <si>
    <t>[{'Score': 0, 'Condition': 'Low Maturity (0-9)'}, {'Score': 4, 'Condition': 'Developing (10-18)'}, {'Score': 7, 'Condition': 'Established (19-26)'}, {'Score': 10, 'Condition': 'Optimizing (27-31)'}]</t>
  </si>
  <si>
    <t>[{'Score': 0, 'Condition': 'Low Maturity, Score Range (0-8)'}, {'Score': 4, 'Condition': 'Developing, Score Range (9-17)'}, {'Score': 7, 'Condition': 'Established, Score Range (18-24)'}, {'Score': 10, 'Condition': 'Optimizing, Score Range (25-29)'}]</t>
  </si>
  <si>
    <t>[{'Score': 0, 'Condition': 'Low Maturity, Score Range (0-15)'}, {'Score': 4, 'Condition': 'Developing, Score Range (16-31)'}, {'Score': 7, 'Condition': 'Established, Score Range (32-44)'}, {'Score': 10, 'Condition': 'Optimizing, Score Range (45-52)'}]</t>
  </si>
  <si>
    <t>[{'Score': 0, 'Condition': 'No items completed'}, {'Score': 2, 'Condition': '1 item completed'}, {'Score': 4, 'Condition': '2 items completed'}, {'Score': 6, 'Condition': '3 items completed'}, {'Score': 8, 'Condition': '4 items completed'}, {'Score': 10, 'Condition': '5 items completed'}]</t>
  </si>
  <si>
    <t>[{'Score': 0, 'Condition': 'No items completed'}, {'Score': 2, 'Condition': 'item 1 completed'}, {'Score': 4, 'Condition': 'items 1-2 completed'}, {'Score': 6, 'Condition': 'items 1-3 completed'}, {'Score': 8, 'Condition': 'items 1-4 completed'}, {'Score': 10, 'Condition': 'items 1-5 completed'}]</t>
  </si>
  <si>
    <t>[{'Score': 0, 'Condition': 'Not done'}, {'Score': 10, 'Condition': 'Done and clearly defined'}]</t>
  </si>
  <si>
    <t>[{'Score': 0, 'Condition': 'No executive sponsor identified'}, {'Score': 10, 'Condition': 'Executive sponsor formally identified and actively engaged'}]</t>
  </si>
  <si>
    <t>[{'Score': 0, 'Condition': 'Does not exist'}, {'Score': 10, 'Condition': 'Exists'}]</t>
  </si>
  <si>
    <t>[{'Score': 0, 'Condition': 'No documented method'}, {'Score': 10, 'Condition': 'Documented method of assessing modernization efforts'}]</t>
  </si>
  <si>
    <t>[{'Score': 0, 'Condition': '0%'}, {'Score': 1, 'Condition': '10%'}, {'Score': 2, 'Condition': '20%'}, {'Score': 3, 'Condition': '30%'}, {'Score': 4, 'Condition': '40%'}, {'Score': 5, 'Condition': '50%'}, {'Score': 6, 'Condition': '60%'}, {'Score': 7, 'Condition': '70%'}, {'Score': 8, 'Condition': '80%'}, {'Score': 9, 'Condition': '90%'}, {'Score': 10, 'Condition': 'Near 100%'}]</t>
  </si>
  <si>
    <t>[{'Score': 0, 'Condition': 'Not done'}, {'Score': 10, 'Condition': 'Policy in place and published'}]</t>
  </si>
  <si>
    <t>[{'Score': 0, 'Condition': 'No teardown/shutdown policy'}, {'Score': 3, 'Condition': 'Published policy'}, {'Score': 6, 'Condition': 'Classification tagged or otherwise identifiable'}, {'Score': 10, 'Condition': 'Enforced Policy with tagged/identifiable classifications'}]</t>
  </si>
  <si>
    <t>[{'Score': 0, 'Condition': '0%'}, {'Score': 1, 'Condition': '10%'}, {'Score': 2, 'Condition': '20%'}, {'Score': 3, 'Condition': '30%'}, {'Score': 4, 'Condition': '40%'}, {'Score': 5, 'Condition': '50%'}, {'Score': 6, 'Condition': '60%'}, {'Score': 7, 'Condition': '70%'}, {'Score': 8, 'Condition': '80% '}, {'Score': 9, 'Condition': '90%'}, {'Score': 10, 'Condition': 'Near 100%'}]</t>
  </si>
  <si>
    <t>[{'Score': 0, 'Condition': 'No items completed'}, {'Score': 5, 'Condition': '1 item  completed'}, {'Score': 10, 'Condition': '2 items completed'}]</t>
  </si>
  <si>
    <t>[{'Score': 0, 'Condition': 'No items completed'}, {'Score': 2, 'Condition': '1 item completed'}, {'Score': 4, 'Condition': '2 items completed'}, {'Score': 5, 'Condition': '3 items completed'}, {'Score': 7, 'Condition': '4 items completed'}, {'Score': 9, 'Condition': '5 items completed'}, {'Score': 10, 'Condition': '6 items completed'}]</t>
  </si>
  <si>
    <t>[{'Score': 0, 'Condition': 'No alerting to any owners'}, {'Score': 1, 'Condition': 'Alerting in at least one owner'}, {'Score': 3, 'Condition': 'Alerting to some owners [&gt;20%]'}, {'Score': 6, 'Condition': 'Alerting to most owners [&gt;60%]'}, {'Score': 10, 'Condition': 'Alerting to all owners [100%]'}]</t>
  </si>
  <si>
    <t>[{'Score': 0, 'Condition': 'No items completed'}, {'Score': 2, 'Condition': '1 item completed'}, {'Score': 3, 'Condition': '2 items completed'}, {'Score': 4, 'Condition': '3 items completed'}, {'Score': 5, 'Condition': '4 items completed'}, {'Score': 7, 'Condition': '5 items completed'}, {'Score': 8, 'Condition': '6 items completed'}, {'Score': 9, 'Condition': '7 items completed'}, {'Score': 10, 'Condition': '8 items completed'}]</t>
  </si>
  <si>
    <t>[{'Score': 0, 'Condition': 'Low Maturity, Score Range (0-14)'}, {'Score': 4, 'Condition': 'Developing, Score Range (15-30)'}, {'Score': 7, 'Condition': 'Established, Score Range (31-42)'}, {'Score': 10, 'Condition': 'Optimizing, Score Range (43-50)'}]</t>
  </si>
  <si>
    <t>[{'Score': 0, 'Condition': 'Never'}, {'Score': 1, 'Condition': 'Monthly or greater'}, {'Score': 2, 'Condition': 'More than a week'}, {'Score': 3, 'Condition': '7 days'}, {'Score': 4, 'Condition': '5 days'}, {'Score': 6, 'Condition': '2 days'}, {'Score': 8, 'Condition': '1 day'}, {'Score': 10, 'Condition': 'Instant'}]</t>
  </si>
  <si>
    <t>[{'Score': 0, 'Condition': 'No items completed'}, {'Score': 2, 'Condition': '1 items completed'}, {'Score': 3, 'Condition': '2 items completed'}, {'Score': 5, 'Condition': '3 items completed'}, {'Score': 6, 'Condition': '4 items completed'}, {'Score': 8, 'Condition': '5 items completed'}, {'Score': 9, 'Condition': '6 items completed'}, {'Score': 10, 'Condition': '7 items completed'}]</t>
  </si>
  <si>
    <t>[{'Score': 0, 'Condition': 'No alerting in workflow tools'}, {'Score': 1, 'Condition': 'Alerting in at least one tool'}, {'Score': 3, 'Condition': 'Alerting in some tooling [&gt;20%]'}, {'Score': 6, 'Condition': 'Alerting in most tooling [&gt;60%]'}, {'Score': 10, 'Condition': 'Alerting in all workflow tools [100%]'}]</t>
  </si>
  <si>
    <t>[{'Score': 0, 'Condition': 'No review of trends'}, {'Score': 3, 'Condition': 'Manual review of trends'}, {'Score': 6, 'Condition': 'Automated trend detection'}, {'Score': 10, 'Condition': 'Manual review and automated trend detection'}]</t>
  </si>
  <si>
    <t>[{'Score': 0, 'Condition': 'None'}, {'Score': 1, 'Condition': 'Annual'}, {'Score': 2, 'Condition': 'Quarterly'}, {'Score': 5, 'Condition': 'Monthly'}, {'Score': 7, 'Condition': 'Bi-Weekly'}, {'Score': 8, 'Condition': 'Weekly'}, {'Score': 10, 'Condition': 'Daily'}]</t>
  </si>
  <si>
    <t>[{'Score': 0, 'Condition': 'No alerting'}, {'Score': 10, 'Condition': 'Alerting exists'}]</t>
  </si>
  <si>
    <t>[{'Score': 0, 'Condition': 'No items completed'}, {'Score': 5, 'Condition': 'item 1 completed'}, {'Score': 10, 'Condition': 'item 2 completed'}]</t>
  </si>
  <si>
    <t>[{'Score': 0, 'Condition': 'None'}, {'Score': 10, 'Condition': 'communicates wins in KPI thresholds and unit costs'}]</t>
  </si>
  <si>
    <t>[{'Score': 0, 'Condition': 'Not monitored'}, {'Score': 2, 'Condition': 'Reported'}, {'Score': 5, 'Condition': 'Manual remediation'}, {'Score': 10, 'Condition': 'Automated remediation'}]</t>
  </si>
  <si>
    <t>0: 0 items completed</t>
  </si>
  <si>
    <t>0: No items completed</t>
  </si>
  <si>
    <t>0: Not done</t>
  </si>
  <si>
    <t>0: Low Maturity (0-9)</t>
  </si>
  <si>
    <t>0: Low Maturity. Score Range (0-8)</t>
  </si>
  <si>
    <t>0: Low Maturity. Score Range (0-15)</t>
  </si>
  <si>
    <t>0: No executive sponsor identified</t>
  </si>
  <si>
    <t>0: Does not exist</t>
  </si>
  <si>
    <t>0: No documented method</t>
  </si>
  <si>
    <t>0: 0%</t>
  </si>
  <si>
    <t>0: No teardown/shutdown policy</t>
  </si>
  <si>
    <t>0: No alerting to any owners</t>
  </si>
  <si>
    <t>0: Low Maturity. Score Range (0-14)</t>
  </si>
  <si>
    <t>0: Never</t>
  </si>
  <si>
    <t>0: No alerting in workflow tools</t>
  </si>
  <si>
    <t>0: No review of trends</t>
  </si>
  <si>
    <t>0: None</t>
  </si>
  <si>
    <t>0: No alerting</t>
  </si>
  <si>
    <t>0: Not monitored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</si>
</sst>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chartsheet" Target="chartsheets/sheet1.xml"/><Relationship Id="rId3" Type="http://schemas.openxmlformats.org/officeDocument/2006/relationships/chartsheet" Target="chartsheets/sheet2.xml"/><Relationship Id="rId4" Type="http://schemas.openxmlformats.org/officeDocument/2006/relationships/worksheet" Target="worksheets/sheet2.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37"/>
  <c:chart>
    <c:plotArea>
      <c:layout/>
      <c:pieChart>
        <c:varyColors val="1"/>
        <c:ser>
          <c:idx val="0"/>
          <c:order val="0"/>
          <c:tx>
            <c:v>Attained Percentage of Maximum Possible Score for FinOps++</c:v>
          </c:tx>
          <c:dLbls>
            <c:showPercent val="1"/>
          </c:dLbls>
          <c:cat>
            <c:strRef>
              <c:f>Overview!$C$1:$D$1</c:f>
              <c:strCache>
                <c:ptCount val="2"/>
                <c:pt idx="0">
                  <c:v>Calculated Weighted Average Score</c:v>
                </c:pt>
                <c:pt idx="1">
                  <c:v>Difference from Maximum Score</c:v>
                </c:pt>
              </c:strCache>
            </c:strRef>
          </c:cat>
          <c:val>
            <c:numRef>
              <c:f>Overview!$C$2:$D$2</c:f>
              <c:numCache>
                <c:formatCode>General</c:formatCode>
                <c:ptCount val="2"/>
                <c:pt idx="0">
                  <c:v>0</c:v>
                </c:pt>
                <c:pt idx="1">
                  <c:v>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29"/>
  <c:chart>
    <c:plotArea>
      <c:layout/>
      <c:radarChart>
        <c:radarStyle val="filled"/>
        <c:ser>
          <c:idx val="0"/>
          <c:order val="0"/>
          <c:tx>
            <c:v>Attained Maturity by Domain</c:v>
          </c:tx>
          <c:cat>
            <c:strRef>
              <c:f>Overview!$A$5:$A$8</c:f>
              <c:strCache>
                <c:ptCount val="4"/>
                <c:pt idx="0">
                  <c:v>Governance</c:v>
                </c:pt>
                <c:pt idx="1">
                  <c:v>Manage the FinOps Practice</c:v>
                </c:pt>
                <c:pt idx="2">
                  <c:v>Quantify Business Value</c:v>
                </c:pt>
                <c:pt idx="3">
                  <c:v>Usage &amp; Cost</c:v>
                </c:pt>
              </c:strCache>
            </c:strRef>
          </c:cat>
          <c:val>
            <c:numRef>
              <c:f>Overview!$U$5:$U$8</c:f>
              <c:numCache>
                <c:formatCode>General</c:formatCode>
                <c:ptCount val="4"/>
                <c:pt idx="0">
                  <c:v>0</c:v>
                </c:pt>
                <c:pt idx="1">
                  <c:v>0</c:v>
                </c:pt>
                <c:pt idx="2">
                  <c:v>0</c:v>
                </c:pt>
                <c:pt idx="3">
                  <c:v>0</c:v>
                </c:pt>
              </c:numCache>
            </c:numRef>
          </c:val>
        </c:ser>
        <c:axId val="50020001"/>
        <c:axId val="50020002"/>
      </c:radarChart>
      <c:catAx>
        <c:axId val="50020001"/>
        <c:scaling>
          <c:orientation val="minMax"/>
        </c:scaling>
        <c:axPos val="b"/>
        <c:majorGridlines/>
        <c:tickLblPos val="nextTo"/>
        <c:crossAx val="50020002"/>
        <c:crosses val="autoZero"/>
        <c:auto val="1"/>
        <c:lblAlgn val="ctr"/>
        <c:lblOffset val="100"/>
      </c:catAx>
      <c:valAx>
        <c:axId val="50020002"/>
        <c:scaling>
          <c:orientation val="minMax"/>
          <c:max val="10"/>
          <c:min val="0"/>
        </c:scaling>
        <c:axPos val="l"/>
        <c:majorGridlines/>
        <c:numFmt formatCode="General" sourceLinked="1"/>
        <c:tickLblPos val="nextTo"/>
        <c:crossAx val="50020001"/>
        <c:crosses val="autoZero"/>
        <c:crossBetween val="between"/>
      </c:valAx>
    </c:plotArea>
  </c:chart>
</c:chartSpace>
</file>

<file path=xl/charts/chart3.xml><?xml version="1.0" encoding="utf-8"?>
<c:chartSpace xmlns:c="http://schemas.openxmlformats.org/drawingml/2006/chart" xmlns:a="http://schemas.openxmlformats.org/drawingml/2006/main" xmlns:r="http://schemas.openxmlformats.org/officeDocument/2006/relationships">
  <c:lang val="en-US"/>
  <c:style val="29"/>
  <c:chart>
    <c:plotArea>
      <c:layout/>
      <c:radarChart>
        <c:radarStyle val="filled"/>
        <c:ser>
          <c:idx val="0"/>
          <c:order val="0"/>
          <c:tx>
            <c:v>Attained Maturity by Capability</c:v>
          </c:tx>
          <c:cat>
            <c:strRef>
              <c:f>Overview!$A$12:$A$32</c:f>
              <c:strCache>
                <c:ptCount val="21"/>
                <c:pt idx="0">
                  <c:v>Allocation</c:v>
                </c:pt>
                <c:pt idx="1">
                  <c:v>Anomaly Management</c:v>
                </c:pt>
                <c:pt idx="2">
                  <c:v>Architecting &amp; Workload Placement</c:v>
                </c:pt>
                <c:pt idx="3">
                  <c:v>Automation, Tools &amp; Services</c:v>
                </c:pt>
                <c:pt idx="4">
                  <c:v>Budgeting</c:v>
                </c:pt>
                <c:pt idx="5">
                  <c:v>Data Ingestion</c:v>
                </c:pt>
                <c:pt idx="6">
                  <c:v>Executive Strategy Alignment</c:v>
                </c:pt>
                <c:pt idx="7">
                  <c:v>FinOps Assessment</c:v>
                </c:pt>
                <c:pt idx="8">
                  <c:v>FinOps Education &amp; Enablement</c:v>
                </c:pt>
                <c:pt idx="9">
                  <c:v>FinOps Practice Operations</c:v>
                </c:pt>
                <c:pt idx="10">
                  <c:v>Forecasting</c:v>
                </c:pt>
                <c:pt idx="11">
                  <c:v>Intersecting Disciplines</c:v>
                </c:pt>
                <c:pt idx="12">
                  <c:v>Invoicing &amp; Chargeback</c:v>
                </c:pt>
                <c:pt idx="13">
                  <c:v>KPIs &amp; Benchmarking</c:v>
                </c:pt>
                <c:pt idx="14">
                  <c:v>Licensing &amp; SaaS</c:v>
                </c:pt>
                <c:pt idx="15">
                  <c:v>Planning &amp; Estimating</c:v>
                </c:pt>
                <c:pt idx="16">
                  <c:v>Policy</c:v>
                </c:pt>
                <c:pt idx="17">
                  <c:v>Rate Optimization</c:v>
                </c:pt>
                <c:pt idx="18">
                  <c:v>Reporting &amp; Analytics</c:v>
                </c:pt>
                <c:pt idx="19">
                  <c:v>Unit Economics</c:v>
                </c:pt>
                <c:pt idx="20">
                  <c:v>Usage Optimization</c:v>
                </c:pt>
              </c:strCache>
            </c:strRef>
          </c:cat>
          <c:val>
            <c:numRef>
              <c:f>Overview!$U$12:$U$32</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er>
        <c:axId val="50030001"/>
        <c:axId val="50030002"/>
      </c:radarChart>
      <c:catAx>
        <c:axId val="50030001"/>
        <c:scaling>
          <c:orientation val="minMax"/>
        </c:scaling>
        <c:axPos val="b"/>
        <c:majorGridlines/>
        <c:tickLblPos val="nextTo"/>
        <c:crossAx val="50030002"/>
        <c:crosses val="autoZero"/>
        <c:auto val="1"/>
        <c:lblAlgn val="ctr"/>
        <c:lblOffset val="100"/>
      </c:catAx>
      <c:valAx>
        <c:axId val="50030002"/>
        <c:scaling>
          <c:orientation val="minMax"/>
          <c:max val="10"/>
          <c:min val="0"/>
        </c:scaling>
        <c:axPos val="l"/>
        <c:majorGridlines/>
        <c:numFmt formatCode="General" sourceLinked="1"/>
        <c:tickLblPos val="nextTo"/>
        <c:crossAx val="50030001"/>
        <c:crosses val="autoZero"/>
        <c:crossBetween val="between"/>
      </c:valAx>
    </c:plotArea>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4</xdr:col>
      <xdr:colOff>428625</xdr:colOff>
      <xdr:row>17</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308969" cy="60783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8969" cy="60783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id="1" name="Table1" displayName="Table1" ref="A1:D2" totalsRowShown="0">
  <tableColumns count="4">
    <tableColumn id="1" name="Sum of Weights"/>
    <tableColumn id="2" name="Maximum Possible Score"/>
    <tableColumn id="3" name="Calculated Weighted Average Score"/>
    <tableColumn id="4" name="Difference from Maximum Score"/>
  </tableColumns>
  <tableStyleInfo name="TableStyleLight11" showFirstColumn="0" showLastColumn="0" showRowStripes="1" showColumnStripes="0"/>
</table>
</file>

<file path=xl/tables/table2.xml><?xml version="1.0" encoding="utf-8"?>
<table xmlns="http://schemas.openxmlformats.org/spreadsheetml/2006/main" id="2" name="Table2" displayName="Table2" ref="A4:B8" totalsRowShown="0">
  <tableColumns count="2">
    <tableColumn id="1" name="Domain"/>
    <tableColumn id="2" name="Action Count"/>
  </tableColumns>
  <tableStyleInfo name="TableStyleLight11" showFirstColumn="0" showLastColumn="0" showRowStripes="1" showColumnStripes="0"/>
</table>
</file>

<file path=xl/tables/table3.xml><?xml version="1.0" encoding="utf-8"?>
<table xmlns="http://schemas.openxmlformats.org/spreadsheetml/2006/main" id="3" name="Table3" displayName="Table3" ref="A11:B32" totalsRowShown="0">
  <tableColumns count="2">
    <tableColumn id="1" name="Capability"/>
    <tableColumn id="2" name="Action Count"/>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 Id="rId3" Type="http://schemas.openxmlformats.org/officeDocument/2006/relationships/table" Target="../tables/table2.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FinOpsPP/Framework-Assessment/tree/main/components/actions/113.md" TargetMode="External"/><Relationship Id="rId2" Type="http://schemas.openxmlformats.org/officeDocument/2006/relationships/hyperlink" Target="https://github.com/FinOpsPP/Framework-Assessment/tree/main/components/actions/114.md" TargetMode="External"/><Relationship Id="rId3" Type="http://schemas.openxmlformats.org/officeDocument/2006/relationships/hyperlink" Target="https://github.com/FinOpsPP/Framework-Assessment/tree/main/components/actions/115.md" TargetMode="External"/><Relationship Id="rId4" Type="http://schemas.openxmlformats.org/officeDocument/2006/relationships/hyperlink" Target="https://github.com/FinOpsPP/Framework-Assessment/tree/main/components/actions/116.md" TargetMode="External"/><Relationship Id="rId5" Type="http://schemas.openxmlformats.org/officeDocument/2006/relationships/hyperlink" Target="https://github.com/FinOpsPP/Framework-Assessment/tree/main/components/actions/117.md" TargetMode="External"/><Relationship Id="rId6" Type="http://schemas.openxmlformats.org/officeDocument/2006/relationships/hyperlink" Target="https://github.com/FinOpsPP/Framework-Assessment/tree/main/components/actions/097.md" TargetMode="External"/><Relationship Id="rId7" Type="http://schemas.openxmlformats.org/officeDocument/2006/relationships/hyperlink" Target="https://github.com/FinOpsPP/Framework-Assessment/tree/main/components/actions/098.md" TargetMode="External"/><Relationship Id="rId8" Type="http://schemas.openxmlformats.org/officeDocument/2006/relationships/hyperlink" Target="https://github.com/FinOpsPP/Framework-Assessment/tree/main/components/actions/099.md" TargetMode="External"/><Relationship Id="rId9" Type="http://schemas.openxmlformats.org/officeDocument/2006/relationships/hyperlink" Target="https://github.com/FinOpsPP/Framework-Assessment/tree/main/components/actions/100.md" TargetMode="External"/><Relationship Id="rId10" Type="http://schemas.openxmlformats.org/officeDocument/2006/relationships/hyperlink" Target="https://github.com/FinOpsPP/Framework-Assessment/tree/main/components/actions/101.md" TargetMode="External"/><Relationship Id="rId11" Type="http://schemas.openxmlformats.org/officeDocument/2006/relationships/hyperlink" Target="https://github.com/FinOpsPP/Framework-Assessment/tree/main/components/actions/091.md" TargetMode="External"/><Relationship Id="rId12" Type="http://schemas.openxmlformats.org/officeDocument/2006/relationships/hyperlink" Target="https://github.com/FinOpsPP/Framework-Assessment/tree/main/components/actions/092.md" TargetMode="External"/><Relationship Id="rId13" Type="http://schemas.openxmlformats.org/officeDocument/2006/relationships/hyperlink" Target="https://github.com/FinOpsPP/Framework-Assessment/tree/main/components/actions/093.md" TargetMode="External"/><Relationship Id="rId14" Type="http://schemas.openxmlformats.org/officeDocument/2006/relationships/hyperlink" Target="https://github.com/FinOpsPP/Framework-Assessment/tree/main/components/actions/094.md" TargetMode="External"/><Relationship Id="rId15" Type="http://schemas.openxmlformats.org/officeDocument/2006/relationships/hyperlink" Target="https://github.com/FinOpsPP/Framework-Assessment/tree/main/components/actions/095.md" TargetMode="External"/><Relationship Id="rId16" Type="http://schemas.openxmlformats.org/officeDocument/2006/relationships/hyperlink" Target="https://github.com/FinOpsPP/Framework-Assessment/tree/main/components/actions/096.md" TargetMode="External"/><Relationship Id="rId17" Type="http://schemas.openxmlformats.org/officeDocument/2006/relationships/hyperlink" Target="https://github.com/FinOpsPP/Framework-Assessment/tree/main/components/actions/124.md" TargetMode="External"/><Relationship Id="rId18" Type="http://schemas.openxmlformats.org/officeDocument/2006/relationships/hyperlink" Target="https://github.com/FinOpsPP/Framework-Assessment/tree/main/components/actions/125.md" TargetMode="External"/><Relationship Id="rId19" Type="http://schemas.openxmlformats.org/officeDocument/2006/relationships/hyperlink" Target="https://github.com/FinOpsPP/Framework-Assessment/tree/main/components/actions/126.md" TargetMode="External"/><Relationship Id="rId20" Type="http://schemas.openxmlformats.org/officeDocument/2006/relationships/hyperlink" Target="https://github.com/FinOpsPP/Framework-Assessment/tree/main/components/actions/127.md" TargetMode="External"/><Relationship Id="rId21" Type="http://schemas.openxmlformats.org/officeDocument/2006/relationships/hyperlink" Target="https://github.com/FinOpsPP/Framework-Assessment/tree/main/components/actions/128.md" TargetMode="External"/><Relationship Id="rId22" Type="http://schemas.openxmlformats.org/officeDocument/2006/relationships/hyperlink" Target="https://github.com/FinOpsPP/Framework-Assessment/tree/main/components/actions/129.md" TargetMode="External"/><Relationship Id="rId23" Type="http://schemas.openxmlformats.org/officeDocument/2006/relationships/hyperlink" Target="https://github.com/FinOpsPP/Framework-Assessment/tree/main/components/actions/130.md" TargetMode="External"/><Relationship Id="rId24" Type="http://schemas.openxmlformats.org/officeDocument/2006/relationships/hyperlink" Target="https://github.com/FinOpsPP/Framework-Assessment/tree/main/components/actions/131.md" TargetMode="External"/><Relationship Id="rId25" Type="http://schemas.openxmlformats.org/officeDocument/2006/relationships/hyperlink" Target="https://github.com/FinOpsPP/Framework-Assessment/tree/main/components/actions/132.md" TargetMode="External"/><Relationship Id="rId26" Type="http://schemas.openxmlformats.org/officeDocument/2006/relationships/hyperlink" Target="https://github.com/FinOpsPP/Framework-Assessment/tree/main/components/actions/133.md" TargetMode="External"/><Relationship Id="rId27" Type="http://schemas.openxmlformats.org/officeDocument/2006/relationships/hyperlink" Target="https://github.com/FinOpsPP/Framework-Assessment/tree/main/components/actions/134.md" TargetMode="External"/><Relationship Id="rId28" Type="http://schemas.openxmlformats.org/officeDocument/2006/relationships/hyperlink" Target="https://github.com/FinOpsPP/Framework-Assessment/tree/main/components/actions/107.md" TargetMode="External"/><Relationship Id="rId29" Type="http://schemas.openxmlformats.org/officeDocument/2006/relationships/hyperlink" Target="https://github.com/FinOpsPP/Framework-Assessment/tree/main/components/actions/108.md" TargetMode="External"/><Relationship Id="rId30" Type="http://schemas.openxmlformats.org/officeDocument/2006/relationships/hyperlink" Target="https://github.com/FinOpsPP/Framework-Assessment/tree/main/components/actions/109.md" TargetMode="External"/><Relationship Id="rId31" Type="http://schemas.openxmlformats.org/officeDocument/2006/relationships/hyperlink" Target="https://github.com/FinOpsPP/Framework-Assessment/tree/main/components/actions/110.md" TargetMode="External"/><Relationship Id="rId32" Type="http://schemas.openxmlformats.org/officeDocument/2006/relationships/hyperlink" Target="https://github.com/FinOpsPP/Framework-Assessment/tree/main/components/actions/111.md" TargetMode="External"/><Relationship Id="rId33" Type="http://schemas.openxmlformats.org/officeDocument/2006/relationships/hyperlink" Target="https://github.com/FinOpsPP/Framework-Assessment/tree/main/components/actions/112.md" TargetMode="External"/><Relationship Id="rId34" Type="http://schemas.openxmlformats.org/officeDocument/2006/relationships/hyperlink" Target="https://github.com/FinOpsPP/Framework-Assessment/tree/main/components/actions/136.md" TargetMode="External"/><Relationship Id="rId35" Type="http://schemas.openxmlformats.org/officeDocument/2006/relationships/hyperlink" Target="https://github.com/FinOpsPP/Framework-Assessment/tree/main/components/actions/137.md" TargetMode="External"/><Relationship Id="rId36" Type="http://schemas.openxmlformats.org/officeDocument/2006/relationships/hyperlink" Target="https://github.com/FinOpsPP/Framework-Assessment/tree/main/components/actions/138.md" TargetMode="External"/><Relationship Id="rId37" Type="http://schemas.openxmlformats.org/officeDocument/2006/relationships/hyperlink" Target="https://github.com/FinOpsPP/Framework-Assessment/tree/main/components/actions/139.md" TargetMode="External"/><Relationship Id="rId38" Type="http://schemas.openxmlformats.org/officeDocument/2006/relationships/hyperlink" Target="https://github.com/FinOpsPP/Framework-Assessment/tree/main/components/actions/061.md" TargetMode="External"/><Relationship Id="rId39" Type="http://schemas.openxmlformats.org/officeDocument/2006/relationships/hyperlink" Target="https://github.com/FinOpsPP/Framework-Assessment/tree/main/components/actions/062.md" TargetMode="External"/><Relationship Id="rId40" Type="http://schemas.openxmlformats.org/officeDocument/2006/relationships/hyperlink" Target="https://github.com/FinOpsPP/Framework-Assessment/tree/main/components/actions/063.md" TargetMode="External"/><Relationship Id="rId41" Type="http://schemas.openxmlformats.org/officeDocument/2006/relationships/hyperlink" Target="https://github.com/FinOpsPP/Framework-Assessment/tree/main/components/actions/064.md" TargetMode="External"/><Relationship Id="rId42" Type="http://schemas.openxmlformats.org/officeDocument/2006/relationships/hyperlink" Target="https://github.com/FinOpsPP/Framework-Assessment/tree/main/components/actions/065.md" TargetMode="External"/><Relationship Id="rId43" Type="http://schemas.openxmlformats.org/officeDocument/2006/relationships/hyperlink" Target="https://github.com/FinOpsPP/Framework-Assessment/tree/main/components/actions/066.md" TargetMode="External"/><Relationship Id="rId44" Type="http://schemas.openxmlformats.org/officeDocument/2006/relationships/hyperlink" Target="https://github.com/FinOpsPP/Framework-Assessment/tree/main/components/actions/118.md" TargetMode="External"/><Relationship Id="rId45" Type="http://schemas.openxmlformats.org/officeDocument/2006/relationships/hyperlink" Target="https://github.com/FinOpsPP/Framework-Assessment/tree/main/components/actions/119.md" TargetMode="External"/><Relationship Id="rId46" Type="http://schemas.openxmlformats.org/officeDocument/2006/relationships/hyperlink" Target="https://github.com/FinOpsPP/Framework-Assessment/tree/main/components/actions/120.md" TargetMode="External"/><Relationship Id="rId47" Type="http://schemas.openxmlformats.org/officeDocument/2006/relationships/hyperlink" Target="https://github.com/FinOpsPP/Framework-Assessment/tree/main/components/actions/121.md" TargetMode="External"/><Relationship Id="rId48" Type="http://schemas.openxmlformats.org/officeDocument/2006/relationships/hyperlink" Target="https://github.com/FinOpsPP/Framework-Assessment/tree/main/components/actions/122.md" TargetMode="External"/><Relationship Id="rId49" Type="http://schemas.openxmlformats.org/officeDocument/2006/relationships/hyperlink" Target="https://github.com/FinOpsPP/Framework-Assessment/tree/main/components/actions/123.md" TargetMode="External"/><Relationship Id="rId50" Type="http://schemas.openxmlformats.org/officeDocument/2006/relationships/hyperlink" Target="https://github.com/FinOpsPP/Framework-Assessment/tree/main/components/actions/073.md" TargetMode="External"/><Relationship Id="rId51" Type="http://schemas.openxmlformats.org/officeDocument/2006/relationships/hyperlink" Target="https://github.com/FinOpsPP/Framework-Assessment/tree/main/components/actions/074.md" TargetMode="External"/><Relationship Id="rId52" Type="http://schemas.openxmlformats.org/officeDocument/2006/relationships/hyperlink" Target="https://github.com/FinOpsPP/Framework-Assessment/tree/main/components/actions/075.md" TargetMode="External"/><Relationship Id="rId53" Type="http://schemas.openxmlformats.org/officeDocument/2006/relationships/hyperlink" Target="https://github.com/FinOpsPP/Framework-Assessment/tree/main/components/actions/076.md" TargetMode="External"/><Relationship Id="rId54" Type="http://schemas.openxmlformats.org/officeDocument/2006/relationships/hyperlink" Target="https://github.com/FinOpsPP/Framework-Assessment/tree/main/components/actions/077.md" TargetMode="External"/><Relationship Id="rId55" Type="http://schemas.openxmlformats.org/officeDocument/2006/relationships/hyperlink" Target="https://github.com/FinOpsPP/Framework-Assessment/tree/main/components/actions/078.md" TargetMode="External"/><Relationship Id="rId56" Type="http://schemas.openxmlformats.org/officeDocument/2006/relationships/hyperlink" Target="https://github.com/FinOpsPP/Framework-Assessment/tree/main/components/actions/079.md" TargetMode="External"/><Relationship Id="rId57" Type="http://schemas.openxmlformats.org/officeDocument/2006/relationships/hyperlink" Target="https://github.com/FinOpsPP/Framework-Assessment/tree/main/components/actions/080.md" TargetMode="External"/><Relationship Id="rId58" Type="http://schemas.openxmlformats.org/officeDocument/2006/relationships/hyperlink" Target="https://github.com/FinOpsPP/Framework-Assessment/tree/main/components/actions/081.md" TargetMode="External"/><Relationship Id="rId59" Type="http://schemas.openxmlformats.org/officeDocument/2006/relationships/hyperlink" Target="https://github.com/FinOpsPP/Framework-Assessment/tree/main/components/actions/082.md" TargetMode="External"/><Relationship Id="rId60" Type="http://schemas.openxmlformats.org/officeDocument/2006/relationships/hyperlink" Target="https://github.com/FinOpsPP/Framework-Assessment/tree/main/components/actions/083.md" TargetMode="External"/><Relationship Id="rId61" Type="http://schemas.openxmlformats.org/officeDocument/2006/relationships/hyperlink" Target="https://github.com/FinOpsPP/Framework-Assessment/tree/main/components/actions/084.md" TargetMode="External"/><Relationship Id="rId62" Type="http://schemas.openxmlformats.org/officeDocument/2006/relationships/hyperlink" Target="https://github.com/FinOpsPP/Framework-Assessment/tree/main/components/actions/067.md" TargetMode="External"/><Relationship Id="rId63" Type="http://schemas.openxmlformats.org/officeDocument/2006/relationships/hyperlink" Target="https://github.com/FinOpsPP/Framework-Assessment/tree/main/components/actions/068.md" TargetMode="External"/><Relationship Id="rId64" Type="http://schemas.openxmlformats.org/officeDocument/2006/relationships/hyperlink" Target="https://github.com/FinOpsPP/Framework-Assessment/tree/main/components/actions/069.md" TargetMode="External"/><Relationship Id="rId65" Type="http://schemas.openxmlformats.org/officeDocument/2006/relationships/hyperlink" Target="https://github.com/FinOpsPP/Framework-Assessment/tree/main/components/actions/070.md" TargetMode="External"/><Relationship Id="rId66" Type="http://schemas.openxmlformats.org/officeDocument/2006/relationships/hyperlink" Target="https://github.com/FinOpsPP/Framework-Assessment/tree/main/components/actions/071.md" TargetMode="External"/><Relationship Id="rId67" Type="http://schemas.openxmlformats.org/officeDocument/2006/relationships/hyperlink" Target="https://github.com/FinOpsPP/Framework-Assessment/tree/main/components/actions/072.md" TargetMode="External"/><Relationship Id="rId68" Type="http://schemas.openxmlformats.org/officeDocument/2006/relationships/hyperlink" Target="https://github.com/FinOpsPP/Framework-Assessment/tree/main/components/actions/009.md" TargetMode="External"/><Relationship Id="rId69" Type="http://schemas.openxmlformats.org/officeDocument/2006/relationships/hyperlink" Target="https://github.com/FinOpsPP/Framework-Assessment/tree/main/components/actions/010.md" TargetMode="External"/><Relationship Id="rId70" Type="http://schemas.openxmlformats.org/officeDocument/2006/relationships/hyperlink" Target="https://github.com/FinOpsPP/Framework-Assessment/tree/main/components/actions/011.md" TargetMode="External"/><Relationship Id="rId71" Type="http://schemas.openxmlformats.org/officeDocument/2006/relationships/hyperlink" Target="https://github.com/FinOpsPP/Framework-Assessment/tree/main/components/actions/012.md" TargetMode="External"/><Relationship Id="rId72" Type="http://schemas.openxmlformats.org/officeDocument/2006/relationships/hyperlink" Target="https://github.com/FinOpsPP/Framework-Assessment/tree/main/components/actions/013.md" TargetMode="External"/><Relationship Id="rId73" Type="http://schemas.openxmlformats.org/officeDocument/2006/relationships/hyperlink" Target="https://github.com/FinOpsPP/Framework-Assessment/tree/main/components/actions/014.md" TargetMode="External"/><Relationship Id="rId74" Type="http://schemas.openxmlformats.org/officeDocument/2006/relationships/hyperlink" Target="https://github.com/FinOpsPP/Framework-Assessment/tree/main/components/actions/015.md" TargetMode="External"/><Relationship Id="rId75" Type="http://schemas.openxmlformats.org/officeDocument/2006/relationships/hyperlink" Target="https://github.com/FinOpsPP/Framework-Assessment/tree/main/components/actions/023.md" TargetMode="External"/><Relationship Id="rId76" Type="http://schemas.openxmlformats.org/officeDocument/2006/relationships/hyperlink" Target="https://github.com/FinOpsPP/Framework-Assessment/tree/main/components/actions/024.md" TargetMode="External"/><Relationship Id="rId77" Type="http://schemas.openxmlformats.org/officeDocument/2006/relationships/hyperlink" Target="https://github.com/FinOpsPP/Framework-Assessment/tree/main/components/actions/025.md" TargetMode="External"/><Relationship Id="rId78" Type="http://schemas.openxmlformats.org/officeDocument/2006/relationships/hyperlink" Target="https://github.com/FinOpsPP/Framework-Assessment/tree/main/components/actions/026.md" TargetMode="External"/><Relationship Id="rId79" Type="http://schemas.openxmlformats.org/officeDocument/2006/relationships/hyperlink" Target="https://github.com/FinOpsPP/Framework-Assessment/tree/main/components/actions/027.md" TargetMode="External"/><Relationship Id="rId80" Type="http://schemas.openxmlformats.org/officeDocument/2006/relationships/hyperlink" Target="https://github.com/FinOpsPP/Framework-Assessment/tree/main/components/actions/028.md" TargetMode="External"/><Relationship Id="rId81" Type="http://schemas.openxmlformats.org/officeDocument/2006/relationships/hyperlink" Target="https://github.com/FinOpsPP/Framework-Assessment/tree/main/components/actions/029.md" TargetMode="External"/><Relationship Id="rId82" Type="http://schemas.openxmlformats.org/officeDocument/2006/relationships/hyperlink" Target="https://github.com/FinOpsPP/Framework-Assessment/tree/main/components/actions/001.md" TargetMode="External"/><Relationship Id="rId83" Type="http://schemas.openxmlformats.org/officeDocument/2006/relationships/hyperlink" Target="https://github.com/FinOpsPP/Framework-Assessment/tree/main/components/actions/002.md" TargetMode="External"/><Relationship Id="rId84" Type="http://schemas.openxmlformats.org/officeDocument/2006/relationships/hyperlink" Target="https://github.com/FinOpsPP/Framework-Assessment/tree/main/components/actions/003.md" TargetMode="External"/><Relationship Id="rId85" Type="http://schemas.openxmlformats.org/officeDocument/2006/relationships/hyperlink" Target="https://github.com/FinOpsPP/Framework-Assessment/tree/main/components/actions/004.md" TargetMode="External"/><Relationship Id="rId86" Type="http://schemas.openxmlformats.org/officeDocument/2006/relationships/hyperlink" Target="https://github.com/FinOpsPP/Framework-Assessment/tree/main/components/actions/005.md" TargetMode="External"/><Relationship Id="rId87" Type="http://schemas.openxmlformats.org/officeDocument/2006/relationships/hyperlink" Target="https://github.com/FinOpsPP/Framework-Assessment/tree/main/components/actions/006.md" TargetMode="External"/><Relationship Id="rId88" Type="http://schemas.openxmlformats.org/officeDocument/2006/relationships/hyperlink" Target="https://github.com/FinOpsPP/Framework-Assessment/tree/main/components/actions/007.md" TargetMode="External"/><Relationship Id="rId89" Type="http://schemas.openxmlformats.org/officeDocument/2006/relationships/hyperlink" Target="https://github.com/FinOpsPP/Framework-Assessment/tree/main/components/actions/008.md" TargetMode="External"/><Relationship Id="rId90" Type="http://schemas.openxmlformats.org/officeDocument/2006/relationships/hyperlink" Target="https://github.com/FinOpsPP/Framework-Assessment/tree/main/components/actions/135.md" TargetMode="External"/><Relationship Id="rId91" Type="http://schemas.openxmlformats.org/officeDocument/2006/relationships/hyperlink" Target="https://github.com/FinOpsPP/Framework-Assessment/tree/main/components/actions/016.md" TargetMode="External"/><Relationship Id="rId92" Type="http://schemas.openxmlformats.org/officeDocument/2006/relationships/hyperlink" Target="https://github.com/FinOpsPP/Framework-Assessment/tree/main/components/actions/017.md" TargetMode="External"/><Relationship Id="rId93" Type="http://schemas.openxmlformats.org/officeDocument/2006/relationships/hyperlink" Target="https://github.com/FinOpsPP/Framework-Assessment/tree/main/components/actions/018.md" TargetMode="External"/><Relationship Id="rId94" Type="http://schemas.openxmlformats.org/officeDocument/2006/relationships/hyperlink" Target="https://github.com/FinOpsPP/Framework-Assessment/tree/main/components/actions/019.md" TargetMode="External"/><Relationship Id="rId95" Type="http://schemas.openxmlformats.org/officeDocument/2006/relationships/hyperlink" Target="https://github.com/FinOpsPP/Framework-Assessment/tree/main/components/actions/020.md" TargetMode="External"/><Relationship Id="rId96" Type="http://schemas.openxmlformats.org/officeDocument/2006/relationships/hyperlink" Target="https://github.com/FinOpsPP/Framework-Assessment/tree/main/components/actions/021.md" TargetMode="External"/><Relationship Id="rId97" Type="http://schemas.openxmlformats.org/officeDocument/2006/relationships/hyperlink" Target="https://github.com/FinOpsPP/Framework-Assessment/tree/main/components/actions/022.md" TargetMode="External"/><Relationship Id="rId98" Type="http://schemas.openxmlformats.org/officeDocument/2006/relationships/hyperlink" Target="https://github.com/FinOpsPP/Framework-Assessment/tree/main/components/actions/049.md" TargetMode="External"/><Relationship Id="rId99" Type="http://schemas.openxmlformats.org/officeDocument/2006/relationships/hyperlink" Target="https://github.com/FinOpsPP/Framework-Assessment/tree/main/components/actions/050.md" TargetMode="External"/><Relationship Id="rId100" Type="http://schemas.openxmlformats.org/officeDocument/2006/relationships/hyperlink" Target="https://github.com/FinOpsPP/Framework-Assessment/tree/main/components/actions/051.md" TargetMode="External"/><Relationship Id="rId101" Type="http://schemas.openxmlformats.org/officeDocument/2006/relationships/hyperlink" Target="https://github.com/FinOpsPP/Framework-Assessment/tree/main/components/actions/052.md" TargetMode="External"/><Relationship Id="rId102" Type="http://schemas.openxmlformats.org/officeDocument/2006/relationships/hyperlink" Target="https://github.com/FinOpsPP/Framework-Assessment/tree/main/components/actions/053.md" TargetMode="External"/><Relationship Id="rId103" Type="http://schemas.openxmlformats.org/officeDocument/2006/relationships/hyperlink" Target="https://github.com/FinOpsPP/Framework-Assessment/tree/main/components/actions/054.md" TargetMode="External"/><Relationship Id="rId104" Type="http://schemas.openxmlformats.org/officeDocument/2006/relationships/hyperlink" Target="https://github.com/FinOpsPP/Framework-Assessment/tree/main/components/actions/043.md" TargetMode="External"/><Relationship Id="rId105" Type="http://schemas.openxmlformats.org/officeDocument/2006/relationships/hyperlink" Target="https://github.com/FinOpsPP/Framework-Assessment/tree/main/components/actions/044.md" TargetMode="External"/><Relationship Id="rId106" Type="http://schemas.openxmlformats.org/officeDocument/2006/relationships/hyperlink" Target="https://github.com/FinOpsPP/Framework-Assessment/tree/main/components/actions/045.md" TargetMode="External"/><Relationship Id="rId107" Type="http://schemas.openxmlformats.org/officeDocument/2006/relationships/hyperlink" Target="https://github.com/FinOpsPP/Framework-Assessment/tree/main/components/actions/046.md" TargetMode="External"/><Relationship Id="rId108" Type="http://schemas.openxmlformats.org/officeDocument/2006/relationships/hyperlink" Target="https://github.com/FinOpsPP/Framework-Assessment/tree/main/components/actions/047.md" TargetMode="External"/><Relationship Id="rId109" Type="http://schemas.openxmlformats.org/officeDocument/2006/relationships/hyperlink" Target="https://github.com/FinOpsPP/Framework-Assessment/tree/main/components/actions/048.md" TargetMode="External"/><Relationship Id="rId110" Type="http://schemas.openxmlformats.org/officeDocument/2006/relationships/hyperlink" Target="https://github.com/FinOpsPP/Framework-Assessment/tree/main/components/actions/037.md" TargetMode="External"/><Relationship Id="rId111" Type="http://schemas.openxmlformats.org/officeDocument/2006/relationships/hyperlink" Target="https://github.com/FinOpsPP/Framework-Assessment/tree/main/components/actions/038.md" TargetMode="External"/><Relationship Id="rId112" Type="http://schemas.openxmlformats.org/officeDocument/2006/relationships/hyperlink" Target="https://github.com/FinOpsPP/Framework-Assessment/tree/main/components/actions/039.md" TargetMode="External"/><Relationship Id="rId113" Type="http://schemas.openxmlformats.org/officeDocument/2006/relationships/hyperlink" Target="https://github.com/FinOpsPP/Framework-Assessment/tree/main/components/actions/040.md" TargetMode="External"/><Relationship Id="rId114" Type="http://schemas.openxmlformats.org/officeDocument/2006/relationships/hyperlink" Target="https://github.com/FinOpsPP/Framework-Assessment/tree/main/components/actions/041.md" TargetMode="External"/><Relationship Id="rId115" Type="http://schemas.openxmlformats.org/officeDocument/2006/relationships/hyperlink" Target="https://github.com/FinOpsPP/Framework-Assessment/tree/main/components/actions/042.md" TargetMode="External"/><Relationship Id="rId116" Type="http://schemas.openxmlformats.org/officeDocument/2006/relationships/hyperlink" Target="https://github.com/FinOpsPP/Framework-Assessment/tree/main/components/actions/030.md" TargetMode="External"/><Relationship Id="rId117" Type="http://schemas.openxmlformats.org/officeDocument/2006/relationships/hyperlink" Target="https://github.com/FinOpsPP/Framework-Assessment/tree/main/components/actions/031.md" TargetMode="External"/><Relationship Id="rId118" Type="http://schemas.openxmlformats.org/officeDocument/2006/relationships/hyperlink" Target="https://github.com/FinOpsPP/Framework-Assessment/tree/main/components/actions/032.md" TargetMode="External"/><Relationship Id="rId119" Type="http://schemas.openxmlformats.org/officeDocument/2006/relationships/hyperlink" Target="https://github.com/FinOpsPP/Framework-Assessment/tree/main/components/actions/033.md" TargetMode="External"/><Relationship Id="rId120" Type="http://schemas.openxmlformats.org/officeDocument/2006/relationships/hyperlink" Target="https://github.com/FinOpsPP/Framework-Assessment/tree/main/components/actions/034.md" TargetMode="External"/><Relationship Id="rId121" Type="http://schemas.openxmlformats.org/officeDocument/2006/relationships/hyperlink" Target="https://github.com/FinOpsPP/Framework-Assessment/tree/main/components/actions/035.md" TargetMode="External"/><Relationship Id="rId122" Type="http://schemas.openxmlformats.org/officeDocument/2006/relationships/hyperlink" Target="https://github.com/FinOpsPP/Framework-Assessment/tree/main/components/actions/036.md" TargetMode="External"/><Relationship Id="rId123" Type="http://schemas.openxmlformats.org/officeDocument/2006/relationships/hyperlink" Target="https://github.com/FinOpsPP/Framework-Assessment/tree/main/components/actions/055.md" TargetMode="External"/><Relationship Id="rId124" Type="http://schemas.openxmlformats.org/officeDocument/2006/relationships/hyperlink" Target="https://github.com/FinOpsPP/Framework-Assessment/tree/main/components/actions/056.md" TargetMode="External"/><Relationship Id="rId125" Type="http://schemas.openxmlformats.org/officeDocument/2006/relationships/hyperlink" Target="https://github.com/FinOpsPP/Framework-Assessment/tree/main/components/actions/057.md" TargetMode="External"/><Relationship Id="rId126" Type="http://schemas.openxmlformats.org/officeDocument/2006/relationships/hyperlink" Target="https://github.com/FinOpsPP/Framework-Assessment/tree/main/components/actions/058.md" TargetMode="External"/><Relationship Id="rId127" Type="http://schemas.openxmlformats.org/officeDocument/2006/relationships/hyperlink" Target="https://github.com/FinOpsPP/Framework-Assessment/tree/main/components/actions/059.md" TargetMode="External"/><Relationship Id="rId128" Type="http://schemas.openxmlformats.org/officeDocument/2006/relationships/hyperlink" Target="https://github.com/FinOpsPP/Framework-Assessment/tree/main/components/actions/060.md" TargetMode="External"/><Relationship Id="rId129" Type="http://schemas.openxmlformats.org/officeDocument/2006/relationships/hyperlink" Target="https://github.com/FinOpsPP/Framework-Assessment/tree/main/components/actions/102.md" TargetMode="External"/><Relationship Id="rId130" Type="http://schemas.openxmlformats.org/officeDocument/2006/relationships/hyperlink" Target="https://github.com/FinOpsPP/Framework-Assessment/tree/main/components/actions/103.md" TargetMode="External"/><Relationship Id="rId131" Type="http://schemas.openxmlformats.org/officeDocument/2006/relationships/hyperlink" Target="https://github.com/FinOpsPP/Framework-Assessment/tree/main/components/actions/104.md" TargetMode="External"/><Relationship Id="rId132" Type="http://schemas.openxmlformats.org/officeDocument/2006/relationships/hyperlink" Target="https://github.com/FinOpsPP/Framework-Assessment/tree/main/components/actions/105.md" TargetMode="External"/><Relationship Id="rId133" Type="http://schemas.openxmlformats.org/officeDocument/2006/relationships/hyperlink" Target="https://github.com/FinOpsPP/Framework-Assessment/tree/main/components/actions/106.md" TargetMode="External"/></Relationships>
</file>

<file path=xl/worksheets/sheet1.xml><?xml version="1.0" encoding="utf-8"?>
<worksheet xmlns="http://schemas.openxmlformats.org/spreadsheetml/2006/main" xmlns:r="http://schemas.openxmlformats.org/officeDocument/2006/relationships">
  <dimension ref="A1:U33"/>
  <sheetViews>
    <sheetView tabSelected="1" workbookViewId="0"/>
  </sheetViews>
  <sheetFormatPr defaultRowHeight="15" zeroHeight="1"/>
  <cols>
    <col min="1" max="1" width="32.42578125" bestFit="1" customWidth="1"/>
    <col min="2" max="2" width="23" bestFit="1" customWidth="1"/>
    <col min="3" max="3" width="32.42578125" bestFit="1" customWidth="1"/>
    <col min="4" max="4" width="29.7109375" bestFit="1" customWidth="1"/>
    <col min="6" max="16384" width="0" hidden="1" customWidth="1"/>
  </cols>
  <sheetData>
    <row r="1" spans="1:21">
      <c r="A1" t="s">
        <v>0</v>
      </c>
      <c r="B1" t="s">
        <v>1</v>
      </c>
      <c r="C1" t="s">
        <v>2</v>
      </c>
      <c r="D1" t="s">
        <v>3</v>
      </c>
    </row>
    <row r="2" spans="1:21">
      <c r="A2">
        <f>SUM(Scoring!F2:F134)</f>
        <v>0</v>
      </c>
      <c r="B2">
        <v>10</v>
      </c>
      <c r="C2">
        <f>SUM(Scoring!I2:I134)/A2</f>
        <v>0</v>
      </c>
      <c r="D2">
        <f>B2-C2</f>
        <v>0</v>
      </c>
    </row>
    <row r="3" spans="1:21"/>
    <row r="4" spans="1:21">
      <c r="A4" t="s">
        <v>4</v>
      </c>
      <c r="B4" t="s">
        <v>5</v>
      </c>
    </row>
    <row r="5" spans="1:21">
      <c r="A5" t="s">
        <v>6</v>
      </c>
      <c r="B5">
        <v>5</v>
      </c>
      <c r="U5">
        <f>SUMIF(Scoring!J2:J134,A5,Scoring!I2:I134)/SUMIF(Scoring!J2:J134,A5,Scoring!F2:F134)</f>
        <v>0</v>
      </c>
    </row>
    <row r="6" spans="1:21">
      <c r="A6" t="s">
        <v>7</v>
      </c>
      <c r="B6">
        <v>37</v>
      </c>
      <c r="U6">
        <f>SUMIF(Scoring!J2:J134,A6,Scoring!I2:I134)/SUMIF(Scoring!J2:J134,A6,Scoring!F2:F134)</f>
        <v>0</v>
      </c>
    </row>
    <row r="7" spans="1:21">
      <c r="A7" t="s">
        <v>8</v>
      </c>
      <c r="B7">
        <v>31</v>
      </c>
      <c r="U7">
        <f>SUMIF(Scoring!J2:J134,A7,Scoring!I2:I134)/SUMIF(Scoring!J2:J134,A7,Scoring!F2:F134)</f>
        <v>0</v>
      </c>
    </row>
    <row r="8" spans="1:21">
      <c r="A8" t="s">
        <v>9</v>
      </c>
      <c r="B8">
        <v>60</v>
      </c>
      <c r="U8">
        <f>SUMIF(Scoring!J2:J134,A8,Scoring!I2:I134)/SUMIF(Scoring!J2:J134,A8,Scoring!F2:F134)</f>
        <v>0</v>
      </c>
    </row>
    <row r="9" spans="1:21">
      <c r="B9">
        <f>SUM(Overview!$B$5:$B$8)</f>
        <v>0</v>
      </c>
    </row>
    <row r="10" spans="1:21"/>
    <row r="11" spans="1:21">
      <c r="A11" t="s">
        <v>10</v>
      </c>
      <c r="B11" t="s">
        <v>5</v>
      </c>
    </row>
    <row r="12" spans="1:21">
      <c r="A12" t="s">
        <v>11</v>
      </c>
      <c r="B12">
        <v>7</v>
      </c>
      <c r="U12">
        <f>SUMIF(Scoring!K2:K134,A12,Scoring!I2:I134)/SUMIF(Scoring!K2:K134,A12,Scoring!F2:F134)</f>
        <v>0</v>
      </c>
    </row>
    <row r="13" spans="1:21">
      <c r="A13" t="s">
        <v>12</v>
      </c>
      <c r="B13">
        <v>7</v>
      </c>
      <c r="U13">
        <f>SUMIF(Scoring!K2:K134,A13,Scoring!I2:I134)/SUMIF(Scoring!K2:K134,A13,Scoring!F2:F134)</f>
        <v>0</v>
      </c>
    </row>
    <row r="14" spans="1:21">
      <c r="A14" t="s">
        <v>13</v>
      </c>
      <c r="B14">
        <v>12</v>
      </c>
      <c r="U14">
        <f>SUMIF(Scoring!K2:K134,A14,Scoring!I2:I134)/SUMIF(Scoring!K2:K134,A14,Scoring!F2:F134)</f>
        <v>0</v>
      </c>
    </row>
    <row r="15" spans="1:21">
      <c r="A15" t="s">
        <v>14</v>
      </c>
      <c r="B15">
        <v>5</v>
      </c>
      <c r="U15">
        <f>SUMIF(Scoring!K2:K134,A15,Scoring!I2:I134)/SUMIF(Scoring!K2:K134,A15,Scoring!F2:F134)</f>
        <v>0</v>
      </c>
    </row>
    <row r="16" spans="1:21">
      <c r="A16" t="s">
        <v>15</v>
      </c>
      <c r="B16">
        <v>6</v>
      </c>
      <c r="U16">
        <f>SUMIF(Scoring!K2:K134,A16,Scoring!I2:I134)/SUMIF(Scoring!K2:K134,A16,Scoring!F2:F134)</f>
        <v>0</v>
      </c>
    </row>
    <row r="17" spans="1:21">
      <c r="A17" t="s">
        <v>16</v>
      </c>
      <c r="B17">
        <v>9</v>
      </c>
      <c r="U17">
        <f>SUMIF(Scoring!K2:K134,A17,Scoring!I2:I134)/SUMIF(Scoring!K2:K134,A17,Scoring!F2:F134)</f>
        <v>0</v>
      </c>
    </row>
    <row r="18" spans="1:21">
      <c r="A18" t="s">
        <v>17</v>
      </c>
      <c r="B18">
        <v>4</v>
      </c>
      <c r="U18">
        <f>SUMIF(Scoring!K2:K134,A18,Scoring!I2:I134)/SUMIF(Scoring!K2:K134,A18,Scoring!F2:F134)</f>
        <v>0</v>
      </c>
    </row>
    <row r="19" spans="1:21">
      <c r="A19" t="s">
        <v>18</v>
      </c>
      <c r="B19">
        <v>5</v>
      </c>
      <c r="U19">
        <f>SUMIF(Scoring!K2:K134,A19,Scoring!I2:I134)/SUMIF(Scoring!K2:K134,A19,Scoring!F2:F134)</f>
        <v>0</v>
      </c>
    </row>
    <row r="20" spans="1:21">
      <c r="A20" t="s">
        <v>19</v>
      </c>
      <c r="B20">
        <v>5</v>
      </c>
      <c r="U20">
        <f>SUMIF(Scoring!K2:K134,A20,Scoring!I2:I134)/SUMIF(Scoring!K2:K134,A20,Scoring!F2:F134)</f>
        <v>0</v>
      </c>
    </row>
    <row r="21" spans="1:21">
      <c r="A21" t="s">
        <v>20</v>
      </c>
      <c r="B21">
        <v>6</v>
      </c>
      <c r="U21">
        <f>SUMIF(Scoring!K2:K134,A21,Scoring!I2:I134)/SUMIF(Scoring!K2:K134,A21,Scoring!F2:F134)</f>
        <v>0</v>
      </c>
    </row>
    <row r="22" spans="1:21">
      <c r="A22" t="s">
        <v>21</v>
      </c>
      <c r="B22">
        <v>6</v>
      </c>
      <c r="U22">
        <f>SUMIF(Scoring!K2:K134,A22,Scoring!I2:I134)/SUMIF(Scoring!K2:K134,A22,Scoring!F2:F134)</f>
        <v>0</v>
      </c>
    </row>
    <row r="23" spans="1:21">
      <c r="A23" t="s">
        <v>22</v>
      </c>
      <c r="B23">
        <v>6</v>
      </c>
      <c r="U23">
        <f>SUMIF(Scoring!K2:K134,A23,Scoring!I2:I134)/SUMIF(Scoring!K2:K134,A23,Scoring!F2:F134)</f>
        <v>0</v>
      </c>
    </row>
    <row r="24" spans="1:21">
      <c r="A24" t="s">
        <v>23</v>
      </c>
      <c r="B24">
        <v>6</v>
      </c>
      <c r="U24">
        <f>SUMIF(Scoring!K2:K134,A24,Scoring!I2:I134)/SUMIF(Scoring!K2:K134,A24,Scoring!F2:F134)</f>
        <v>0</v>
      </c>
    </row>
    <row r="25" spans="1:21">
      <c r="A25" t="s">
        <v>24</v>
      </c>
      <c r="B25">
        <v>6</v>
      </c>
      <c r="U25">
        <f>SUMIF(Scoring!K2:K134,A25,Scoring!I2:I134)/SUMIF(Scoring!K2:K134,A25,Scoring!F2:F134)</f>
        <v>0</v>
      </c>
    </row>
    <row r="26" spans="1:21">
      <c r="A26" t="s">
        <v>25</v>
      </c>
      <c r="B26">
        <v>6</v>
      </c>
      <c r="U26">
        <f>SUMIF(Scoring!K2:K134,A26,Scoring!I2:I134)/SUMIF(Scoring!K2:K134,A26,Scoring!F2:F134)</f>
        <v>0</v>
      </c>
    </row>
    <row r="27" spans="1:21">
      <c r="A27" t="s">
        <v>26</v>
      </c>
      <c r="B27">
        <v>7</v>
      </c>
      <c r="U27">
        <f>SUMIF(Scoring!K2:K134,A27,Scoring!I2:I134)/SUMIF(Scoring!K2:K134,A27,Scoring!F2:F134)</f>
        <v>0</v>
      </c>
    </row>
    <row r="28" spans="1:21">
      <c r="A28" t="s">
        <v>27</v>
      </c>
      <c r="B28">
        <v>5</v>
      </c>
      <c r="U28">
        <f>SUMIF(Scoring!K2:K134,A28,Scoring!I2:I134)/SUMIF(Scoring!K2:K134,A28,Scoring!F2:F134)</f>
        <v>0</v>
      </c>
    </row>
    <row r="29" spans="1:21">
      <c r="A29" t="s">
        <v>28</v>
      </c>
      <c r="B29">
        <v>6</v>
      </c>
      <c r="U29">
        <f>SUMIF(Scoring!K2:K134,A29,Scoring!I2:I134)/SUMIF(Scoring!K2:K134,A29,Scoring!F2:F134)</f>
        <v>0</v>
      </c>
    </row>
    <row r="30" spans="1:21">
      <c r="A30" t="s">
        <v>29</v>
      </c>
      <c r="B30">
        <v>7</v>
      </c>
      <c r="U30">
        <f>SUMIF(Scoring!K2:K134,A30,Scoring!I2:I134)/SUMIF(Scoring!K2:K134,A30,Scoring!F2:F134)</f>
        <v>0</v>
      </c>
    </row>
    <row r="31" spans="1:21">
      <c r="A31" t="s">
        <v>30</v>
      </c>
      <c r="B31">
        <v>6</v>
      </c>
      <c r="U31">
        <f>SUMIF(Scoring!K2:K134,A31,Scoring!I2:I134)/SUMIF(Scoring!K2:K134,A31,Scoring!F2:F134)</f>
        <v>0</v>
      </c>
    </row>
    <row r="32" spans="1:21">
      <c r="A32" t="s">
        <v>31</v>
      </c>
      <c r="B32">
        <v>6</v>
      </c>
      <c r="U32">
        <f>SUMIF(Scoring!K2:K134,A32,Scoring!I2:I134)/SUMIF(Scoring!K2:K134,A32,Scoring!F2:F134)</f>
        <v>0</v>
      </c>
    </row>
    <row r="33" spans="2:2">
      <c r="B33">
        <f>SUM(Overview!$B$12:$B$32)</f>
        <v>0</v>
      </c>
    </row>
  </sheetData>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dimension ref="A1:K134"/>
  <sheetViews>
    <sheetView workbookViewId="0"/>
  </sheetViews>
  <sheetFormatPr defaultRowHeight="15" zeroHeight="1"/>
  <cols>
    <col min="1" max="1" width="25.42578125" bestFit="1" customWidth="1"/>
    <col min="2" max="2" width="32.42578125" bestFit="1" customWidth="1"/>
    <col min="3" max="3" width="42.5703125" bestFit="1" customWidth="1"/>
    <col min="4" max="4" width="13.28515625" bestFit="1" customWidth="1"/>
    <col min="5" max="5" width="7.5703125" bestFit="1" customWidth="1"/>
    <col min="6" max="6" width="8" bestFit="1" customWidth="1"/>
    <col min="7" max="8" width="40.7109375" style="1" customWidth="1"/>
    <col min="9" max="9" width="14.5703125" bestFit="1" customWidth="1"/>
    <col min="10" max="10" width="25.42578125" hidden="1" bestFit="1" customWidth="1"/>
    <col min="11" max="11" width="32.42578125" hidden="1" bestFit="1" customWidth="1"/>
    <col min="12" max="16384" width="0" hidden="1" customWidth="1"/>
  </cols>
  <sheetData>
    <row r="1" spans="1:11">
      <c r="A1" s="2" t="s">
        <v>40</v>
      </c>
      <c r="B1" s="2" t="s">
        <v>41</v>
      </c>
      <c r="C1" s="2" t="s">
        <v>42</v>
      </c>
      <c r="D1" s="2" t="s">
        <v>32</v>
      </c>
      <c r="E1" s="2" t="s">
        <v>33</v>
      </c>
      <c r="F1" s="2" t="s">
        <v>34</v>
      </c>
      <c r="G1" s="2" t="s">
        <v>35</v>
      </c>
      <c r="H1" s="2" t="s">
        <v>36</v>
      </c>
      <c r="I1" s="2" t="s">
        <v>37</v>
      </c>
      <c r="J1" s="2" t="s">
        <v>38</v>
      </c>
      <c r="K1" s="2" t="s">
        <v>39</v>
      </c>
    </row>
    <row r="2" spans="1:11">
      <c r="A2" s="2" t="s">
        <v>7</v>
      </c>
      <c r="B2" s="2" t="s">
        <v>18</v>
      </c>
      <c r="C2" s="2" t="s">
        <v>43</v>
      </c>
      <c r="D2" s="3" t="s">
        <v>176</v>
      </c>
      <c r="E2" t="s">
        <v>309</v>
      </c>
      <c r="F2">
        <v>1</v>
      </c>
      <c r="G2" s="1" t="s">
        <v>316</v>
      </c>
      <c r="H2" s="1" t="s">
        <v>404</v>
      </c>
      <c r="I2">
        <f>F2*VALUE(LEFT(H2, FIND(":", H2)-1))</f>
        <v>0</v>
      </c>
      <c r="J2" t="s">
        <v>7</v>
      </c>
      <c r="K2" t="s">
        <v>18</v>
      </c>
    </row>
    <row r="3" spans="1:11">
      <c r="A3" s="2"/>
      <c r="B3" s="2"/>
      <c r="C3" s="2" t="s">
        <v>44</v>
      </c>
      <c r="D3" s="3" t="s">
        <v>177</v>
      </c>
      <c r="E3" t="s">
        <v>309</v>
      </c>
      <c r="F3">
        <v>1</v>
      </c>
      <c r="G3" s="1" t="s">
        <v>317</v>
      </c>
      <c r="H3" s="1" t="s">
        <v>405</v>
      </c>
      <c r="I3">
        <f>F3*VALUE(LEFT(H3, FIND(":", H3)-1))</f>
        <v>0</v>
      </c>
      <c r="J3" t="s">
        <v>7</v>
      </c>
      <c r="K3" t="s">
        <v>18</v>
      </c>
    </row>
    <row r="4" spans="1:11">
      <c r="A4" s="2"/>
      <c r="B4" s="2"/>
      <c r="C4" s="2" t="s">
        <v>45</v>
      </c>
      <c r="D4" s="3" t="s">
        <v>178</v>
      </c>
      <c r="E4" t="s">
        <v>309</v>
      </c>
      <c r="F4">
        <v>1</v>
      </c>
      <c r="G4" s="1" t="s">
        <v>318</v>
      </c>
      <c r="H4" s="1" t="s">
        <v>405</v>
      </c>
      <c r="I4">
        <f>F4*VALUE(LEFT(H4, FIND(":", H4)-1))</f>
        <v>0</v>
      </c>
      <c r="J4" t="s">
        <v>7</v>
      </c>
      <c r="K4" t="s">
        <v>18</v>
      </c>
    </row>
    <row r="5" spans="1:11">
      <c r="A5" s="2"/>
      <c r="B5" s="2"/>
      <c r="C5" s="2" t="s">
        <v>46</v>
      </c>
      <c r="D5" s="3" t="s">
        <v>179</v>
      </c>
      <c r="E5" t="s">
        <v>309</v>
      </c>
      <c r="F5">
        <v>1</v>
      </c>
      <c r="G5" s="1" t="s">
        <v>319</v>
      </c>
      <c r="H5" s="1" t="s">
        <v>405</v>
      </c>
      <c r="I5">
        <f>F5*VALUE(LEFT(H5, FIND(":", H5)-1))</f>
        <v>0</v>
      </c>
      <c r="J5" t="s">
        <v>7</v>
      </c>
      <c r="K5" t="s">
        <v>18</v>
      </c>
    </row>
    <row r="6" spans="1:11">
      <c r="A6" s="2"/>
      <c r="B6" s="2"/>
      <c r="C6" s="2" t="s">
        <v>47</v>
      </c>
      <c r="D6" s="3" t="s">
        <v>180</v>
      </c>
      <c r="E6" t="s">
        <v>310</v>
      </c>
      <c r="F6">
        <v>1</v>
      </c>
      <c r="G6" s="1" t="s">
        <v>320</v>
      </c>
      <c r="H6" s="1" t="s">
        <v>405</v>
      </c>
      <c r="I6">
        <f>F6*VALUE(LEFT(H6, FIND(":", H6)-1))</f>
        <v>0</v>
      </c>
      <c r="J6" t="s">
        <v>7</v>
      </c>
      <c r="K6" t="s">
        <v>18</v>
      </c>
    </row>
    <row r="7" spans="1:11">
      <c r="A7" s="2"/>
      <c r="B7" s="2" t="s">
        <v>19</v>
      </c>
      <c r="C7" s="2" t="s">
        <v>48</v>
      </c>
      <c r="D7" s="3" t="s">
        <v>181</v>
      </c>
      <c r="E7" t="s">
        <v>310</v>
      </c>
      <c r="F7">
        <v>1</v>
      </c>
      <c r="H7" s="1" t="s">
        <v>406</v>
      </c>
      <c r="I7">
        <f>F7*VALUE(LEFT(H7, FIND(":", H7)-1))</f>
        <v>0</v>
      </c>
      <c r="J7" t="s">
        <v>7</v>
      </c>
      <c r="K7" t="s">
        <v>19</v>
      </c>
    </row>
    <row r="8" spans="1:11">
      <c r="A8" s="2"/>
      <c r="B8" s="2"/>
      <c r="C8" s="2" t="s">
        <v>49</v>
      </c>
      <c r="D8" s="3" t="s">
        <v>182</v>
      </c>
      <c r="E8" t="s">
        <v>310</v>
      </c>
      <c r="F8">
        <v>1</v>
      </c>
      <c r="H8" s="1" t="s">
        <v>406</v>
      </c>
      <c r="I8">
        <f>F8*VALUE(LEFT(H8, FIND(":", H8)-1))</f>
        <v>0</v>
      </c>
      <c r="J8" t="s">
        <v>7</v>
      </c>
      <c r="K8" t="s">
        <v>19</v>
      </c>
    </row>
    <row r="9" spans="1:11">
      <c r="A9" s="2"/>
      <c r="B9" s="2"/>
      <c r="C9" s="2" t="s">
        <v>50</v>
      </c>
      <c r="D9" s="3" t="s">
        <v>183</v>
      </c>
      <c r="E9" t="s">
        <v>310</v>
      </c>
      <c r="F9">
        <v>1</v>
      </c>
      <c r="H9" s="1" t="s">
        <v>406</v>
      </c>
      <c r="I9">
        <f>F9*VALUE(LEFT(H9, FIND(":", H9)-1))</f>
        <v>0</v>
      </c>
      <c r="J9" t="s">
        <v>7</v>
      </c>
      <c r="K9" t="s">
        <v>19</v>
      </c>
    </row>
    <row r="10" spans="1:11">
      <c r="A10" s="2"/>
      <c r="B10" s="2"/>
      <c r="C10" s="2" t="s">
        <v>51</v>
      </c>
      <c r="D10" s="3" t="s">
        <v>184</v>
      </c>
      <c r="E10" t="s">
        <v>311</v>
      </c>
      <c r="F10">
        <v>1</v>
      </c>
      <c r="G10" s="1" t="s">
        <v>321</v>
      </c>
      <c r="H10" s="1" t="s">
        <v>405</v>
      </c>
      <c r="I10">
        <f>F10*VALUE(LEFT(H10, FIND(":", H10)-1))</f>
        <v>0</v>
      </c>
      <c r="J10" t="s">
        <v>7</v>
      </c>
      <c r="K10" t="s">
        <v>19</v>
      </c>
    </row>
    <row r="11" spans="1:11">
      <c r="A11" s="2"/>
      <c r="B11" s="2"/>
      <c r="C11" s="2" t="s">
        <v>52</v>
      </c>
      <c r="D11" s="3" t="s">
        <v>185</v>
      </c>
      <c r="E11" t="s">
        <v>310</v>
      </c>
      <c r="F11">
        <v>1</v>
      </c>
      <c r="H11" s="1" t="s">
        <v>406</v>
      </c>
      <c r="I11">
        <f>F11*VALUE(LEFT(H11, FIND(":", H11)-1))</f>
        <v>0</v>
      </c>
      <c r="J11" t="s">
        <v>7</v>
      </c>
      <c r="K11" t="s">
        <v>19</v>
      </c>
    </row>
    <row r="12" spans="1:11">
      <c r="A12" s="2"/>
      <c r="B12" s="2" t="s">
        <v>20</v>
      </c>
      <c r="C12" s="2" t="s">
        <v>53</v>
      </c>
      <c r="D12" s="3" t="s">
        <v>186</v>
      </c>
      <c r="E12" t="s">
        <v>311</v>
      </c>
      <c r="F12">
        <v>1</v>
      </c>
      <c r="H12" s="1" t="s">
        <v>406</v>
      </c>
      <c r="I12">
        <f>F12*VALUE(LEFT(H12, FIND(":", H12)-1))</f>
        <v>0</v>
      </c>
      <c r="J12" t="s">
        <v>7</v>
      </c>
      <c r="K12" t="s">
        <v>20</v>
      </c>
    </row>
    <row r="13" spans="1:11">
      <c r="A13" s="2"/>
      <c r="B13" s="2"/>
      <c r="C13" s="2" t="s">
        <v>54</v>
      </c>
      <c r="D13" s="3" t="s">
        <v>187</v>
      </c>
      <c r="E13" t="s">
        <v>310</v>
      </c>
      <c r="F13">
        <v>1</v>
      </c>
      <c r="H13" s="1" t="s">
        <v>406</v>
      </c>
      <c r="I13">
        <f>F13*VALUE(LEFT(H13, FIND(":", H13)-1))</f>
        <v>0</v>
      </c>
      <c r="J13" t="s">
        <v>7</v>
      </c>
      <c r="K13" t="s">
        <v>20</v>
      </c>
    </row>
    <row r="14" spans="1:11">
      <c r="A14" s="2"/>
      <c r="B14" s="2"/>
      <c r="C14" s="2" t="s">
        <v>55</v>
      </c>
      <c r="D14" s="3" t="s">
        <v>188</v>
      </c>
      <c r="E14" t="s">
        <v>310</v>
      </c>
      <c r="F14">
        <v>1</v>
      </c>
      <c r="H14" s="1" t="s">
        <v>406</v>
      </c>
      <c r="I14">
        <f>F14*VALUE(LEFT(H14, FIND(":", H14)-1))</f>
        <v>0</v>
      </c>
      <c r="J14" t="s">
        <v>7</v>
      </c>
      <c r="K14" t="s">
        <v>20</v>
      </c>
    </row>
    <row r="15" spans="1:11">
      <c r="A15" s="2"/>
      <c r="B15" s="2"/>
      <c r="C15" s="2" t="s">
        <v>56</v>
      </c>
      <c r="D15" s="3" t="s">
        <v>189</v>
      </c>
      <c r="E15" t="s">
        <v>310</v>
      </c>
      <c r="F15">
        <v>1</v>
      </c>
      <c r="H15" s="1" t="s">
        <v>406</v>
      </c>
      <c r="I15">
        <f>F15*VALUE(LEFT(H15, FIND(":", H15)-1))</f>
        <v>0</v>
      </c>
      <c r="J15" t="s">
        <v>7</v>
      </c>
      <c r="K15" t="s">
        <v>20</v>
      </c>
    </row>
    <row r="16" spans="1:11">
      <c r="A16" s="2"/>
      <c r="B16" s="2"/>
      <c r="C16" s="2" t="s">
        <v>57</v>
      </c>
      <c r="D16" s="3" t="s">
        <v>190</v>
      </c>
      <c r="E16" t="s">
        <v>310</v>
      </c>
      <c r="F16">
        <v>1</v>
      </c>
      <c r="H16" s="1" t="s">
        <v>406</v>
      </c>
      <c r="I16">
        <f>F16*VALUE(LEFT(H16, FIND(":", H16)-1))</f>
        <v>0</v>
      </c>
      <c r="J16" t="s">
        <v>7</v>
      </c>
      <c r="K16" t="s">
        <v>20</v>
      </c>
    </row>
    <row r="17" spans="1:11">
      <c r="A17" s="2"/>
      <c r="B17" s="2"/>
      <c r="C17" s="2" t="s">
        <v>58</v>
      </c>
      <c r="D17" s="3" t="s">
        <v>191</v>
      </c>
      <c r="E17" t="s">
        <v>310</v>
      </c>
      <c r="F17">
        <v>1</v>
      </c>
      <c r="H17" s="1" t="s">
        <v>406</v>
      </c>
      <c r="I17">
        <f>F17*VALUE(LEFT(H17, FIND(":", H17)-1))</f>
        <v>0</v>
      </c>
      <c r="J17" t="s">
        <v>7</v>
      </c>
      <c r="K17" t="s">
        <v>20</v>
      </c>
    </row>
    <row r="18" spans="1:11">
      <c r="A18" s="2"/>
      <c r="B18" s="2" t="s">
        <v>14</v>
      </c>
      <c r="C18" s="2" t="s">
        <v>59</v>
      </c>
      <c r="D18" s="3" t="s">
        <v>192</v>
      </c>
      <c r="E18" t="s">
        <v>310</v>
      </c>
      <c r="F18">
        <v>1</v>
      </c>
      <c r="G18" s="1" t="s">
        <v>322</v>
      </c>
      <c r="H18" s="1" t="s">
        <v>407</v>
      </c>
      <c r="I18">
        <f>F18*VALUE(LEFT(H18, FIND(":", H18)-1))</f>
        <v>0</v>
      </c>
      <c r="J18" t="s">
        <v>7</v>
      </c>
      <c r="K18" t="s">
        <v>14</v>
      </c>
    </row>
    <row r="19" spans="1:11">
      <c r="A19" s="2"/>
      <c r="B19" s="2"/>
      <c r="C19" s="2" t="s">
        <v>60</v>
      </c>
      <c r="D19" s="3" t="s">
        <v>193</v>
      </c>
      <c r="E19" t="s">
        <v>312</v>
      </c>
      <c r="F19">
        <v>1</v>
      </c>
      <c r="G19" s="1" t="s">
        <v>323</v>
      </c>
      <c r="H19" s="1" t="s">
        <v>408</v>
      </c>
      <c r="I19">
        <f>F19*VALUE(LEFT(H19, FIND(":", H19)-1))</f>
        <v>0</v>
      </c>
      <c r="J19" t="s">
        <v>7</v>
      </c>
      <c r="K19" t="s">
        <v>14</v>
      </c>
    </row>
    <row r="20" spans="1:11">
      <c r="A20" s="2"/>
      <c r="B20" s="2"/>
      <c r="C20" s="2" t="s">
        <v>61</v>
      </c>
      <c r="D20" s="3" t="s">
        <v>194</v>
      </c>
      <c r="E20" t="s">
        <v>309</v>
      </c>
      <c r="F20">
        <v>1</v>
      </c>
      <c r="G20" s="1" t="s">
        <v>324</v>
      </c>
      <c r="H20" s="1" t="s">
        <v>409</v>
      </c>
      <c r="I20">
        <f>F20*VALUE(LEFT(H20, FIND(":", H20)-1))</f>
        <v>0</v>
      </c>
      <c r="J20" t="s">
        <v>7</v>
      </c>
      <c r="K20" t="s">
        <v>14</v>
      </c>
    </row>
    <row r="21" spans="1:11">
      <c r="A21" s="2"/>
      <c r="B21" s="2"/>
      <c r="C21" s="2" t="s">
        <v>62</v>
      </c>
      <c r="D21" s="3" t="s">
        <v>195</v>
      </c>
      <c r="E21" t="s">
        <v>311</v>
      </c>
      <c r="F21">
        <v>1</v>
      </c>
      <c r="G21" s="1" t="s">
        <v>325</v>
      </c>
      <c r="H21" s="1" t="s">
        <v>405</v>
      </c>
      <c r="I21">
        <f>F21*VALUE(LEFT(H21, FIND(":", H21)-1))</f>
        <v>0</v>
      </c>
      <c r="J21" t="s">
        <v>7</v>
      </c>
      <c r="K21" t="s">
        <v>14</v>
      </c>
    </row>
    <row r="22" spans="1:11">
      <c r="A22" s="2"/>
      <c r="B22" s="2"/>
      <c r="C22" s="2" t="s">
        <v>63</v>
      </c>
      <c r="D22" s="3" t="s">
        <v>196</v>
      </c>
      <c r="E22" t="s">
        <v>310</v>
      </c>
      <c r="F22">
        <v>1</v>
      </c>
      <c r="H22" s="1" t="s">
        <v>406</v>
      </c>
      <c r="I22">
        <f>F22*VALUE(LEFT(H22, FIND(":", H22)-1))</f>
        <v>0</v>
      </c>
      <c r="J22" t="s">
        <v>7</v>
      </c>
      <c r="K22" t="s">
        <v>14</v>
      </c>
    </row>
    <row r="23" spans="1:11">
      <c r="A23" s="2"/>
      <c r="B23" s="2" t="s">
        <v>22</v>
      </c>
      <c r="C23" s="2" t="s">
        <v>64</v>
      </c>
      <c r="D23" s="3" t="s">
        <v>197</v>
      </c>
      <c r="E23" t="s">
        <v>309</v>
      </c>
      <c r="F23">
        <v>1</v>
      </c>
      <c r="G23" s="1" t="s">
        <v>326</v>
      </c>
      <c r="H23" s="1" t="s">
        <v>405</v>
      </c>
      <c r="I23">
        <f>F23*VALUE(LEFT(H23, FIND(":", H23)-1))</f>
        <v>0</v>
      </c>
      <c r="J23" t="s">
        <v>7</v>
      </c>
      <c r="K23" t="s">
        <v>22</v>
      </c>
    </row>
    <row r="24" spans="1:11">
      <c r="A24" s="2"/>
      <c r="B24" s="2"/>
      <c r="C24" s="2" t="s">
        <v>65</v>
      </c>
      <c r="D24" s="3" t="s">
        <v>198</v>
      </c>
      <c r="E24" t="s">
        <v>309</v>
      </c>
      <c r="F24">
        <v>1</v>
      </c>
      <c r="G24" s="1" t="s">
        <v>327</v>
      </c>
      <c r="H24" s="1" t="s">
        <v>405</v>
      </c>
      <c r="I24">
        <f>F24*VALUE(LEFT(H24, FIND(":", H24)-1))</f>
        <v>0</v>
      </c>
      <c r="J24" t="s">
        <v>7</v>
      </c>
      <c r="K24" t="s">
        <v>22</v>
      </c>
    </row>
    <row r="25" spans="1:11">
      <c r="A25" s="2"/>
      <c r="B25" s="2"/>
      <c r="C25" s="2" t="s">
        <v>66</v>
      </c>
      <c r="D25" s="3" t="s">
        <v>199</v>
      </c>
      <c r="E25" t="s">
        <v>309</v>
      </c>
      <c r="F25">
        <v>1</v>
      </c>
      <c r="G25" s="1" t="s">
        <v>328</v>
      </c>
      <c r="H25" s="1" t="s">
        <v>405</v>
      </c>
      <c r="I25">
        <f>F25*VALUE(LEFT(H25, FIND(":", H25)-1))</f>
        <v>0</v>
      </c>
      <c r="J25" t="s">
        <v>7</v>
      </c>
      <c r="K25" t="s">
        <v>22</v>
      </c>
    </row>
    <row r="26" spans="1:11">
      <c r="A26" s="2"/>
      <c r="B26" s="2"/>
      <c r="C26" s="2" t="s">
        <v>67</v>
      </c>
      <c r="D26" s="3" t="s">
        <v>200</v>
      </c>
      <c r="E26" t="s">
        <v>309</v>
      </c>
      <c r="F26">
        <v>1</v>
      </c>
      <c r="G26" s="1" t="s">
        <v>329</v>
      </c>
      <c r="H26" s="1" t="s">
        <v>405</v>
      </c>
      <c r="I26">
        <f>F26*VALUE(LEFT(H26, FIND(":", H26)-1))</f>
        <v>0</v>
      </c>
      <c r="J26" t="s">
        <v>7</v>
      </c>
      <c r="K26" t="s">
        <v>22</v>
      </c>
    </row>
    <row r="27" spans="1:11">
      <c r="A27" s="2"/>
      <c r="B27" s="2"/>
      <c r="C27" s="2" t="s">
        <v>68</v>
      </c>
      <c r="D27" s="3" t="s">
        <v>201</v>
      </c>
      <c r="E27" t="s">
        <v>309</v>
      </c>
      <c r="F27">
        <v>1</v>
      </c>
      <c r="G27" s="1" t="s">
        <v>330</v>
      </c>
      <c r="H27" s="1" t="s">
        <v>405</v>
      </c>
      <c r="I27">
        <f>F27*VALUE(LEFT(H27, FIND(":", H27)-1))</f>
        <v>0</v>
      </c>
      <c r="J27" t="s">
        <v>7</v>
      </c>
      <c r="K27" t="s">
        <v>22</v>
      </c>
    </row>
    <row r="28" spans="1:11">
      <c r="A28" s="2"/>
      <c r="B28" s="2"/>
      <c r="C28" s="2" t="s">
        <v>69</v>
      </c>
      <c r="D28" s="3" t="s">
        <v>202</v>
      </c>
      <c r="E28" t="s">
        <v>309</v>
      </c>
      <c r="F28">
        <v>1</v>
      </c>
      <c r="G28" s="1" t="s">
        <v>331</v>
      </c>
      <c r="H28" s="1" t="s">
        <v>405</v>
      </c>
      <c r="I28">
        <f>F28*VALUE(LEFT(H28, FIND(":", H28)-1))</f>
        <v>0</v>
      </c>
      <c r="J28" t="s">
        <v>7</v>
      </c>
      <c r="K28" t="s">
        <v>22</v>
      </c>
    </row>
    <row r="29" spans="1:11">
      <c r="A29" s="2"/>
      <c r="B29" s="2" t="s">
        <v>23</v>
      </c>
      <c r="C29" s="2" t="s">
        <v>70</v>
      </c>
      <c r="D29" s="3" t="s">
        <v>203</v>
      </c>
      <c r="E29" t="s">
        <v>310</v>
      </c>
      <c r="F29">
        <v>1</v>
      </c>
      <c r="H29" s="1" t="s">
        <v>406</v>
      </c>
      <c r="I29">
        <f>F29*VALUE(LEFT(H29, FIND(":", H29)-1))</f>
        <v>0</v>
      </c>
      <c r="J29" t="s">
        <v>7</v>
      </c>
      <c r="K29" t="s">
        <v>23</v>
      </c>
    </row>
    <row r="30" spans="1:11">
      <c r="A30" s="2"/>
      <c r="B30" s="2"/>
      <c r="C30" s="2" t="s">
        <v>71</v>
      </c>
      <c r="D30" s="3" t="s">
        <v>204</v>
      </c>
      <c r="E30" t="s">
        <v>310</v>
      </c>
      <c r="F30">
        <v>1</v>
      </c>
      <c r="H30" s="1" t="s">
        <v>406</v>
      </c>
      <c r="I30">
        <f>F30*VALUE(LEFT(H30, FIND(":", H30)-1))</f>
        <v>0</v>
      </c>
      <c r="J30" t="s">
        <v>7</v>
      </c>
      <c r="K30" t="s">
        <v>23</v>
      </c>
    </row>
    <row r="31" spans="1:11">
      <c r="A31" s="2"/>
      <c r="B31" s="2"/>
      <c r="C31" s="2" t="s">
        <v>72</v>
      </c>
      <c r="D31" s="3" t="s">
        <v>205</v>
      </c>
      <c r="E31" t="s">
        <v>311</v>
      </c>
      <c r="F31">
        <v>1</v>
      </c>
      <c r="H31" s="1" t="s">
        <v>406</v>
      </c>
      <c r="I31">
        <f>F31*VALUE(LEFT(H31, FIND(":", H31)-1))</f>
        <v>0</v>
      </c>
      <c r="J31" t="s">
        <v>7</v>
      </c>
      <c r="K31" t="s">
        <v>23</v>
      </c>
    </row>
    <row r="32" spans="1:11">
      <c r="A32" s="2"/>
      <c r="B32" s="2"/>
      <c r="C32" s="2" t="s">
        <v>73</v>
      </c>
      <c r="D32" s="3" t="s">
        <v>206</v>
      </c>
      <c r="E32" t="s">
        <v>310</v>
      </c>
      <c r="F32">
        <v>1</v>
      </c>
      <c r="H32" s="1" t="s">
        <v>406</v>
      </c>
      <c r="I32">
        <f>F32*VALUE(LEFT(H32, FIND(":", H32)-1))</f>
        <v>0</v>
      </c>
      <c r="J32" t="s">
        <v>7</v>
      </c>
      <c r="K32" t="s">
        <v>23</v>
      </c>
    </row>
    <row r="33" spans="1:11">
      <c r="A33" s="2"/>
      <c r="B33" s="2"/>
      <c r="C33" s="2" t="s">
        <v>74</v>
      </c>
      <c r="D33" s="3" t="s">
        <v>207</v>
      </c>
      <c r="E33" t="s">
        <v>310</v>
      </c>
      <c r="F33">
        <v>1</v>
      </c>
      <c r="H33" s="1" t="s">
        <v>406</v>
      </c>
      <c r="I33">
        <f>F33*VALUE(LEFT(H33, FIND(":", H33)-1))</f>
        <v>0</v>
      </c>
      <c r="J33" t="s">
        <v>7</v>
      </c>
      <c r="K33" t="s">
        <v>23</v>
      </c>
    </row>
    <row r="34" spans="1:11">
      <c r="A34" s="2"/>
      <c r="B34" s="2"/>
      <c r="C34" s="2" t="s">
        <v>75</v>
      </c>
      <c r="D34" s="3" t="s">
        <v>208</v>
      </c>
      <c r="E34" t="s">
        <v>311</v>
      </c>
      <c r="F34">
        <v>1</v>
      </c>
      <c r="H34" s="1" t="s">
        <v>406</v>
      </c>
      <c r="I34">
        <f>F34*VALUE(LEFT(H34, FIND(":", H34)-1))</f>
        <v>0</v>
      </c>
      <c r="J34" t="s">
        <v>7</v>
      </c>
      <c r="K34" t="s">
        <v>23</v>
      </c>
    </row>
    <row r="35" spans="1:11">
      <c r="A35" s="2"/>
      <c r="B35" s="2" t="s">
        <v>17</v>
      </c>
      <c r="C35" s="2" t="s">
        <v>76</v>
      </c>
      <c r="D35" s="3" t="s">
        <v>209</v>
      </c>
      <c r="E35" t="s">
        <v>309</v>
      </c>
      <c r="F35">
        <v>1</v>
      </c>
      <c r="H35" s="1" t="s">
        <v>410</v>
      </c>
      <c r="I35">
        <f>F35*VALUE(LEFT(H35, FIND(":", H35)-1))</f>
        <v>0</v>
      </c>
      <c r="J35" t="s">
        <v>7</v>
      </c>
      <c r="K35" t="s">
        <v>17</v>
      </c>
    </row>
    <row r="36" spans="1:11">
      <c r="A36" s="2"/>
      <c r="B36" s="2"/>
      <c r="C36" s="2" t="s">
        <v>77</v>
      </c>
      <c r="D36" s="3" t="s">
        <v>210</v>
      </c>
      <c r="E36" t="s">
        <v>310</v>
      </c>
      <c r="F36">
        <v>1</v>
      </c>
      <c r="G36" s="1" t="s">
        <v>332</v>
      </c>
      <c r="H36" s="1" t="s">
        <v>405</v>
      </c>
      <c r="I36">
        <f>F36*VALUE(LEFT(H36, FIND(":", H36)-1))</f>
        <v>0</v>
      </c>
      <c r="J36" t="s">
        <v>7</v>
      </c>
      <c r="K36" t="s">
        <v>17</v>
      </c>
    </row>
    <row r="37" spans="1:11">
      <c r="A37" s="2"/>
      <c r="B37" s="2"/>
      <c r="C37" s="2" t="s">
        <v>78</v>
      </c>
      <c r="D37" s="3" t="s">
        <v>211</v>
      </c>
      <c r="E37" t="s">
        <v>310</v>
      </c>
      <c r="F37">
        <v>1</v>
      </c>
      <c r="G37" s="1" t="s">
        <v>333</v>
      </c>
      <c r="H37" s="1" t="s">
        <v>405</v>
      </c>
      <c r="I37">
        <f>F37*VALUE(LEFT(H37, FIND(":", H37)-1))</f>
        <v>0</v>
      </c>
      <c r="J37" t="s">
        <v>7</v>
      </c>
      <c r="K37" t="s">
        <v>17</v>
      </c>
    </row>
    <row r="38" spans="1:11">
      <c r="A38" s="2"/>
      <c r="B38" s="2"/>
      <c r="C38" s="2" t="s">
        <v>79</v>
      </c>
      <c r="D38" s="3" t="s">
        <v>212</v>
      </c>
      <c r="E38" t="s">
        <v>310</v>
      </c>
      <c r="F38">
        <v>1</v>
      </c>
      <c r="G38" s="1" t="s">
        <v>334</v>
      </c>
      <c r="H38" s="1" t="s">
        <v>405</v>
      </c>
      <c r="I38">
        <f>F38*VALUE(LEFT(H38, FIND(":", H38)-1))</f>
        <v>0</v>
      </c>
      <c r="J38" t="s">
        <v>7</v>
      </c>
      <c r="K38" t="s">
        <v>17</v>
      </c>
    </row>
    <row r="39" spans="1:11">
      <c r="A39" s="2" t="s">
        <v>9</v>
      </c>
      <c r="B39" s="2" t="s">
        <v>13</v>
      </c>
      <c r="C39" s="2" t="s">
        <v>80</v>
      </c>
      <c r="D39" s="3" t="s">
        <v>213</v>
      </c>
      <c r="E39" t="s">
        <v>311</v>
      </c>
      <c r="F39">
        <v>1</v>
      </c>
      <c r="H39" s="1" t="s">
        <v>411</v>
      </c>
      <c r="I39">
        <f>F39*VALUE(LEFT(H39, FIND(":", H39)-1))</f>
        <v>0</v>
      </c>
      <c r="J39" t="s">
        <v>9</v>
      </c>
      <c r="K39" t="s">
        <v>13</v>
      </c>
    </row>
    <row r="40" spans="1:11">
      <c r="A40" s="2"/>
      <c r="B40" s="2"/>
      <c r="C40" s="2" t="s">
        <v>81</v>
      </c>
      <c r="D40" s="3" t="s">
        <v>214</v>
      </c>
      <c r="E40" t="s">
        <v>311</v>
      </c>
      <c r="F40">
        <v>1</v>
      </c>
      <c r="G40" s="1" t="s">
        <v>335</v>
      </c>
      <c r="H40" s="1" t="s">
        <v>405</v>
      </c>
      <c r="I40">
        <f>F40*VALUE(LEFT(H40, FIND(":", H40)-1))</f>
        <v>0</v>
      </c>
      <c r="J40" t="s">
        <v>9</v>
      </c>
      <c r="K40" t="s">
        <v>13</v>
      </c>
    </row>
    <row r="41" spans="1:11">
      <c r="A41" s="2"/>
      <c r="B41" s="2"/>
      <c r="C41" s="2" t="s">
        <v>82</v>
      </c>
      <c r="D41" s="3" t="s">
        <v>215</v>
      </c>
      <c r="E41" t="s">
        <v>311</v>
      </c>
      <c r="F41">
        <v>1</v>
      </c>
      <c r="H41" s="1" t="s">
        <v>412</v>
      </c>
      <c r="I41">
        <f>F41*VALUE(LEFT(H41, FIND(":", H41)-1))</f>
        <v>0</v>
      </c>
      <c r="J41" t="s">
        <v>9</v>
      </c>
      <c r="K41" t="s">
        <v>13</v>
      </c>
    </row>
    <row r="42" spans="1:11">
      <c r="A42" s="2"/>
      <c r="B42" s="2"/>
      <c r="C42" s="2" t="s">
        <v>83</v>
      </c>
      <c r="D42" s="3" t="s">
        <v>216</v>
      </c>
      <c r="E42" t="s">
        <v>313</v>
      </c>
      <c r="F42">
        <v>1</v>
      </c>
      <c r="G42" s="1" t="s">
        <v>336</v>
      </c>
      <c r="H42" s="1" t="s">
        <v>405</v>
      </c>
      <c r="I42">
        <f>F42*VALUE(LEFT(H42, FIND(":", H42)-1))</f>
        <v>0</v>
      </c>
      <c r="J42" t="s">
        <v>9</v>
      </c>
      <c r="K42" t="s">
        <v>13</v>
      </c>
    </row>
    <row r="43" spans="1:11">
      <c r="A43" s="2"/>
      <c r="B43" s="2"/>
      <c r="C43" s="2" t="s">
        <v>84</v>
      </c>
      <c r="D43" s="3" t="s">
        <v>217</v>
      </c>
      <c r="E43" t="s">
        <v>313</v>
      </c>
      <c r="F43">
        <v>1</v>
      </c>
      <c r="G43" s="1" t="s">
        <v>337</v>
      </c>
      <c r="H43" s="1" t="s">
        <v>405</v>
      </c>
      <c r="I43">
        <f>F43*VALUE(LEFT(H43, FIND(":", H43)-1))</f>
        <v>0</v>
      </c>
      <c r="J43" t="s">
        <v>9</v>
      </c>
      <c r="K43" t="s">
        <v>13</v>
      </c>
    </row>
    <row r="44" spans="1:11">
      <c r="A44" s="2"/>
      <c r="B44" s="2"/>
      <c r="C44" s="2" t="s">
        <v>85</v>
      </c>
      <c r="D44" s="3" t="s">
        <v>218</v>
      </c>
      <c r="E44" t="s">
        <v>310</v>
      </c>
      <c r="F44">
        <v>1</v>
      </c>
      <c r="H44" s="1" t="s">
        <v>406</v>
      </c>
      <c r="I44">
        <f>F44*VALUE(LEFT(H44, FIND(":", H44)-1))</f>
        <v>0</v>
      </c>
      <c r="J44" t="s">
        <v>9</v>
      </c>
      <c r="K44" t="s">
        <v>13</v>
      </c>
    </row>
    <row r="45" spans="1:11">
      <c r="A45" s="2"/>
      <c r="B45" s="2"/>
      <c r="C45" s="2" t="s">
        <v>86</v>
      </c>
      <c r="D45" s="3" t="s">
        <v>219</v>
      </c>
      <c r="E45" t="s">
        <v>310</v>
      </c>
      <c r="F45">
        <v>1</v>
      </c>
      <c r="H45" s="1" t="s">
        <v>406</v>
      </c>
      <c r="I45">
        <f>F45*VALUE(LEFT(H45, FIND(":", H45)-1))</f>
        <v>0</v>
      </c>
      <c r="J45" t="s">
        <v>9</v>
      </c>
      <c r="K45" t="s">
        <v>13</v>
      </c>
    </row>
    <row r="46" spans="1:11">
      <c r="A46" s="2"/>
      <c r="B46" s="2"/>
      <c r="C46" s="2" t="s">
        <v>87</v>
      </c>
      <c r="D46" s="3" t="s">
        <v>220</v>
      </c>
      <c r="E46" t="s">
        <v>310</v>
      </c>
      <c r="F46">
        <v>1</v>
      </c>
      <c r="H46" s="1" t="s">
        <v>406</v>
      </c>
      <c r="I46">
        <f>F46*VALUE(LEFT(H46, FIND(":", H46)-1))</f>
        <v>0</v>
      </c>
      <c r="J46" t="s">
        <v>9</v>
      </c>
      <c r="K46" t="s">
        <v>13</v>
      </c>
    </row>
    <row r="47" spans="1:11">
      <c r="A47" s="2"/>
      <c r="B47" s="2"/>
      <c r="C47" s="2" t="s">
        <v>88</v>
      </c>
      <c r="D47" s="3" t="s">
        <v>221</v>
      </c>
      <c r="E47" t="s">
        <v>311</v>
      </c>
      <c r="F47">
        <v>1</v>
      </c>
      <c r="G47" s="1" t="s">
        <v>338</v>
      </c>
      <c r="H47" s="1" t="s">
        <v>405</v>
      </c>
      <c r="I47">
        <f>F47*VALUE(LEFT(H47, FIND(":", H47)-1))</f>
        <v>0</v>
      </c>
      <c r="J47" t="s">
        <v>9</v>
      </c>
      <c r="K47" t="s">
        <v>13</v>
      </c>
    </row>
    <row r="48" spans="1:11">
      <c r="A48" s="2"/>
      <c r="B48" s="2"/>
      <c r="C48" s="2" t="s">
        <v>89</v>
      </c>
      <c r="D48" s="3" t="s">
        <v>222</v>
      </c>
      <c r="E48" t="s">
        <v>310</v>
      </c>
      <c r="F48">
        <v>1</v>
      </c>
      <c r="H48" s="1" t="s">
        <v>406</v>
      </c>
      <c r="I48">
        <f>F48*VALUE(LEFT(H48, FIND(":", H48)-1))</f>
        <v>0</v>
      </c>
      <c r="J48" t="s">
        <v>9</v>
      </c>
      <c r="K48" t="s">
        <v>13</v>
      </c>
    </row>
    <row r="49" spans="1:11">
      <c r="A49" s="2"/>
      <c r="B49" s="2"/>
      <c r="C49" s="2" t="s">
        <v>90</v>
      </c>
      <c r="D49" s="3" t="s">
        <v>223</v>
      </c>
      <c r="E49" t="s">
        <v>310</v>
      </c>
      <c r="F49">
        <v>1</v>
      </c>
      <c r="H49" s="1" t="s">
        <v>406</v>
      </c>
      <c r="I49">
        <f>F49*VALUE(LEFT(H49, FIND(":", H49)-1))</f>
        <v>0</v>
      </c>
      <c r="J49" t="s">
        <v>9</v>
      </c>
      <c r="K49" t="s">
        <v>13</v>
      </c>
    </row>
    <row r="50" spans="1:11">
      <c r="A50" s="2"/>
      <c r="B50" s="2"/>
      <c r="C50" s="2" t="s">
        <v>91</v>
      </c>
      <c r="D50" s="3" t="s">
        <v>224</v>
      </c>
      <c r="E50" t="s">
        <v>310</v>
      </c>
      <c r="F50">
        <v>1</v>
      </c>
      <c r="H50" s="1" t="s">
        <v>406</v>
      </c>
      <c r="I50">
        <f>F50*VALUE(LEFT(H50, FIND(":", H50)-1))</f>
        <v>0</v>
      </c>
      <c r="J50" t="s">
        <v>9</v>
      </c>
      <c r="K50" t="s">
        <v>13</v>
      </c>
    </row>
    <row r="51" spans="1:11">
      <c r="A51" s="2"/>
      <c r="B51" s="2" t="s">
        <v>25</v>
      </c>
      <c r="C51" s="2" t="s">
        <v>92</v>
      </c>
      <c r="D51" s="3" t="s">
        <v>225</v>
      </c>
      <c r="E51" t="s">
        <v>311</v>
      </c>
      <c r="F51">
        <v>1</v>
      </c>
      <c r="H51" s="1" t="s">
        <v>413</v>
      </c>
      <c r="I51">
        <f>F51*VALUE(LEFT(H51, FIND(":", H51)-1))</f>
        <v>0</v>
      </c>
      <c r="J51" t="s">
        <v>9</v>
      </c>
      <c r="K51" t="s">
        <v>25</v>
      </c>
    </row>
    <row r="52" spans="1:11">
      <c r="A52" s="2"/>
      <c r="B52" s="2"/>
      <c r="C52" s="2" t="s">
        <v>93</v>
      </c>
      <c r="D52" s="3" t="s">
        <v>226</v>
      </c>
      <c r="E52" t="s">
        <v>310</v>
      </c>
      <c r="F52">
        <v>1</v>
      </c>
      <c r="H52" s="1" t="s">
        <v>406</v>
      </c>
      <c r="I52">
        <f>F52*VALUE(LEFT(H52, FIND(":", H52)-1))</f>
        <v>0</v>
      </c>
      <c r="J52" t="s">
        <v>9</v>
      </c>
      <c r="K52" t="s">
        <v>25</v>
      </c>
    </row>
    <row r="53" spans="1:11">
      <c r="A53" s="2"/>
      <c r="B53" s="2"/>
      <c r="C53" s="2" t="s">
        <v>94</v>
      </c>
      <c r="D53" s="3" t="s">
        <v>227</v>
      </c>
      <c r="E53" t="s">
        <v>310</v>
      </c>
      <c r="F53">
        <v>1</v>
      </c>
      <c r="H53" s="1" t="s">
        <v>406</v>
      </c>
      <c r="I53">
        <f>F53*VALUE(LEFT(H53, FIND(":", H53)-1))</f>
        <v>0</v>
      </c>
      <c r="J53" t="s">
        <v>9</v>
      </c>
      <c r="K53" t="s">
        <v>25</v>
      </c>
    </row>
    <row r="54" spans="1:11">
      <c r="A54" s="2"/>
      <c r="B54" s="2"/>
      <c r="C54" s="2" t="s">
        <v>95</v>
      </c>
      <c r="D54" s="3" t="s">
        <v>228</v>
      </c>
      <c r="E54" t="s">
        <v>311</v>
      </c>
      <c r="F54">
        <v>1</v>
      </c>
      <c r="H54" s="1" t="s">
        <v>406</v>
      </c>
      <c r="I54">
        <f>F54*VALUE(LEFT(H54, FIND(":", H54)-1))</f>
        <v>0</v>
      </c>
      <c r="J54" t="s">
        <v>9</v>
      </c>
      <c r="K54" t="s">
        <v>25</v>
      </c>
    </row>
    <row r="55" spans="1:11">
      <c r="A55" s="2"/>
      <c r="B55" s="2"/>
      <c r="C55" s="2" t="s">
        <v>96</v>
      </c>
      <c r="D55" s="3" t="s">
        <v>229</v>
      </c>
      <c r="E55" t="s">
        <v>310</v>
      </c>
      <c r="F55">
        <v>1</v>
      </c>
      <c r="H55" s="1" t="s">
        <v>406</v>
      </c>
      <c r="I55">
        <f>F55*VALUE(LEFT(H55, FIND(":", H55)-1))</f>
        <v>0</v>
      </c>
      <c r="J55" t="s">
        <v>9</v>
      </c>
      <c r="K55" t="s">
        <v>25</v>
      </c>
    </row>
    <row r="56" spans="1:11">
      <c r="A56" s="2"/>
      <c r="B56" s="2"/>
      <c r="C56" s="2" t="s">
        <v>97</v>
      </c>
      <c r="D56" s="3" t="s">
        <v>230</v>
      </c>
      <c r="E56" t="s">
        <v>310</v>
      </c>
      <c r="F56">
        <v>1</v>
      </c>
      <c r="H56" s="1" t="s">
        <v>406</v>
      </c>
      <c r="I56">
        <f>F56*VALUE(LEFT(H56, FIND(":", H56)-1))</f>
        <v>0</v>
      </c>
      <c r="J56" t="s">
        <v>9</v>
      </c>
      <c r="K56" t="s">
        <v>25</v>
      </c>
    </row>
    <row r="57" spans="1:11">
      <c r="A57" s="2"/>
      <c r="B57" s="2" t="s">
        <v>28</v>
      </c>
      <c r="C57" s="2" t="s">
        <v>98</v>
      </c>
      <c r="D57" s="3" t="s">
        <v>231</v>
      </c>
      <c r="E57" t="s">
        <v>311</v>
      </c>
      <c r="F57">
        <v>1</v>
      </c>
      <c r="H57" s="1" t="s">
        <v>406</v>
      </c>
      <c r="I57">
        <f>F57*VALUE(LEFT(H57, FIND(":", H57)-1))</f>
        <v>0</v>
      </c>
      <c r="J57" t="s">
        <v>9</v>
      </c>
      <c r="K57" t="s">
        <v>28</v>
      </c>
    </row>
    <row r="58" spans="1:11">
      <c r="A58" s="2"/>
      <c r="B58" s="2"/>
      <c r="C58" s="2" t="s">
        <v>99</v>
      </c>
      <c r="D58" s="3" t="s">
        <v>232</v>
      </c>
      <c r="E58" t="s">
        <v>311</v>
      </c>
      <c r="F58">
        <v>1</v>
      </c>
      <c r="H58" s="1" t="s">
        <v>406</v>
      </c>
      <c r="I58">
        <f>F58*VALUE(LEFT(H58, FIND(":", H58)-1))</f>
        <v>0</v>
      </c>
      <c r="J58" t="s">
        <v>9</v>
      </c>
      <c r="K58" t="s">
        <v>28</v>
      </c>
    </row>
    <row r="59" spans="1:11">
      <c r="A59" s="2"/>
      <c r="B59" s="2"/>
      <c r="C59" s="2" t="s">
        <v>100</v>
      </c>
      <c r="D59" s="3" t="s">
        <v>233</v>
      </c>
      <c r="E59" t="s">
        <v>310</v>
      </c>
      <c r="F59">
        <v>1</v>
      </c>
      <c r="H59" s="1" t="s">
        <v>406</v>
      </c>
      <c r="I59">
        <f>F59*VALUE(LEFT(H59, FIND(":", H59)-1))</f>
        <v>0</v>
      </c>
      <c r="J59" t="s">
        <v>9</v>
      </c>
      <c r="K59" t="s">
        <v>28</v>
      </c>
    </row>
    <row r="60" spans="1:11">
      <c r="A60" s="2"/>
      <c r="B60" s="2"/>
      <c r="C60" s="2" t="s">
        <v>101</v>
      </c>
      <c r="D60" s="3" t="s">
        <v>234</v>
      </c>
      <c r="E60" t="s">
        <v>310</v>
      </c>
      <c r="F60">
        <v>1</v>
      </c>
      <c r="H60" s="1" t="s">
        <v>406</v>
      </c>
      <c r="I60">
        <f>F60*VALUE(LEFT(H60, FIND(":", H60)-1))</f>
        <v>0</v>
      </c>
      <c r="J60" t="s">
        <v>9</v>
      </c>
      <c r="K60" t="s">
        <v>28</v>
      </c>
    </row>
    <row r="61" spans="1:11">
      <c r="A61" s="2"/>
      <c r="B61" s="2"/>
      <c r="C61" s="2" t="s">
        <v>102</v>
      </c>
      <c r="D61" s="3" t="s">
        <v>235</v>
      </c>
      <c r="E61" t="s">
        <v>310</v>
      </c>
      <c r="F61">
        <v>1</v>
      </c>
      <c r="H61" s="1" t="s">
        <v>406</v>
      </c>
      <c r="I61">
        <f>F61*VALUE(LEFT(H61, FIND(":", H61)-1))</f>
        <v>0</v>
      </c>
      <c r="J61" t="s">
        <v>9</v>
      </c>
      <c r="K61" t="s">
        <v>28</v>
      </c>
    </row>
    <row r="62" spans="1:11">
      <c r="A62" s="2"/>
      <c r="B62" s="2"/>
      <c r="C62" s="2" t="s">
        <v>103</v>
      </c>
      <c r="D62" s="3" t="s">
        <v>236</v>
      </c>
      <c r="E62" t="s">
        <v>311</v>
      </c>
      <c r="F62">
        <v>1</v>
      </c>
      <c r="G62" s="1" t="s">
        <v>339</v>
      </c>
      <c r="H62" s="1" t="s">
        <v>405</v>
      </c>
      <c r="I62">
        <f>F62*VALUE(LEFT(H62, FIND(":", H62)-1))</f>
        <v>0</v>
      </c>
      <c r="J62" t="s">
        <v>9</v>
      </c>
      <c r="K62" t="s">
        <v>28</v>
      </c>
    </row>
    <row r="63" spans="1:11">
      <c r="A63" s="2"/>
      <c r="B63" s="2" t="s">
        <v>31</v>
      </c>
      <c r="C63" s="2" t="s">
        <v>104</v>
      </c>
      <c r="D63" s="3" t="s">
        <v>237</v>
      </c>
      <c r="E63" t="s">
        <v>310</v>
      </c>
      <c r="F63">
        <v>1</v>
      </c>
      <c r="H63" s="1" t="s">
        <v>406</v>
      </c>
      <c r="I63">
        <f>F63*VALUE(LEFT(H63, FIND(":", H63)-1))</f>
        <v>0</v>
      </c>
      <c r="J63" t="s">
        <v>9</v>
      </c>
      <c r="K63" t="s">
        <v>31</v>
      </c>
    </row>
    <row r="64" spans="1:11">
      <c r="A64" s="2"/>
      <c r="B64" s="2"/>
      <c r="C64" s="2" t="s">
        <v>105</v>
      </c>
      <c r="D64" s="3" t="s">
        <v>238</v>
      </c>
      <c r="E64" t="s">
        <v>311</v>
      </c>
      <c r="F64">
        <v>1</v>
      </c>
      <c r="H64" s="1" t="s">
        <v>414</v>
      </c>
      <c r="I64">
        <f>F64*VALUE(LEFT(H64, FIND(":", H64)-1))</f>
        <v>0</v>
      </c>
      <c r="J64" t="s">
        <v>9</v>
      </c>
      <c r="K64" t="s">
        <v>31</v>
      </c>
    </row>
    <row r="65" spans="1:11">
      <c r="A65" s="2"/>
      <c r="B65" s="2"/>
      <c r="C65" s="2" t="s">
        <v>106</v>
      </c>
      <c r="D65" s="3" t="s">
        <v>239</v>
      </c>
      <c r="E65" t="s">
        <v>311</v>
      </c>
      <c r="F65">
        <v>1</v>
      </c>
      <c r="H65" s="1" t="s">
        <v>413</v>
      </c>
      <c r="I65">
        <f>F65*VALUE(LEFT(H65, FIND(":", H65)-1))</f>
        <v>0</v>
      </c>
      <c r="J65" t="s">
        <v>9</v>
      </c>
      <c r="K65" t="s">
        <v>31</v>
      </c>
    </row>
    <row r="66" spans="1:11">
      <c r="A66" s="2"/>
      <c r="B66" s="2"/>
      <c r="C66" s="2" t="s">
        <v>107</v>
      </c>
      <c r="D66" s="3" t="s">
        <v>240</v>
      </c>
      <c r="E66" t="s">
        <v>310</v>
      </c>
      <c r="F66">
        <v>1</v>
      </c>
      <c r="H66" s="1" t="s">
        <v>406</v>
      </c>
      <c r="I66">
        <f>F66*VALUE(LEFT(H66, FIND(":", H66)-1))</f>
        <v>0</v>
      </c>
      <c r="J66" t="s">
        <v>9</v>
      </c>
      <c r="K66" t="s">
        <v>31</v>
      </c>
    </row>
    <row r="67" spans="1:11">
      <c r="A67" s="2"/>
      <c r="B67" s="2"/>
      <c r="C67" s="2" t="s">
        <v>108</v>
      </c>
      <c r="D67" s="3" t="s">
        <v>241</v>
      </c>
      <c r="E67" t="s">
        <v>310</v>
      </c>
      <c r="F67">
        <v>1</v>
      </c>
      <c r="H67" s="1" t="s">
        <v>406</v>
      </c>
      <c r="I67">
        <f>F67*VALUE(LEFT(H67, FIND(":", H67)-1))</f>
        <v>0</v>
      </c>
      <c r="J67" t="s">
        <v>9</v>
      </c>
      <c r="K67" t="s">
        <v>31</v>
      </c>
    </row>
    <row r="68" spans="1:11">
      <c r="A68" s="2"/>
      <c r="B68" s="2"/>
      <c r="C68" s="2" t="s">
        <v>109</v>
      </c>
      <c r="D68" s="3" t="s">
        <v>242</v>
      </c>
      <c r="E68" t="s">
        <v>310</v>
      </c>
      <c r="F68">
        <v>1</v>
      </c>
      <c r="H68" s="1" t="s">
        <v>406</v>
      </c>
      <c r="I68">
        <f>F68*VALUE(LEFT(H68, FIND(":", H68)-1))</f>
        <v>0</v>
      </c>
      <c r="J68" t="s">
        <v>9</v>
      </c>
      <c r="K68" t="s">
        <v>31</v>
      </c>
    </row>
    <row r="69" spans="1:11">
      <c r="A69" s="2"/>
      <c r="B69" s="2" t="s">
        <v>11</v>
      </c>
      <c r="C69" s="2" t="s">
        <v>110</v>
      </c>
      <c r="D69" s="3" t="s">
        <v>243</v>
      </c>
      <c r="E69" t="s">
        <v>311</v>
      </c>
      <c r="F69">
        <v>1</v>
      </c>
      <c r="G69" s="1" t="s">
        <v>340</v>
      </c>
      <c r="H69" s="1" t="s">
        <v>405</v>
      </c>
      <c r="I69">
        <f>F69*VALUE(LEFT(H69, FIND(":", H69)-1))</f>
        <v>0</v>
      </c>
      <c r="J69" t="s">
        <v>9</v>
      </c>
      <c r="K69" t="s">
        <v>11</v>
      </c>
    </row>
    <row r="70" spans="1:11">
      <c r="A70" s="2"/>
      <c r="B70" s="2"/>
      <c r="C70" s="2" t="s">
        <v>111</v>
      </c>
      <c r="D70" s="3" t="s">
        <v>244</v>
      </c>
      <c r="E70" t="s">
        <v>311</v>
      </c>
      <c r="F70">
        <v>1</v>
      </c>
      <c r="G70" s="1" t="s">
        <v>341</v>
      </c>
      <c r="H70" s="1" t="s">
        <v>413</v>
      </c>
      <c r="I70">
        <f>F70*VALUE(LEFT(H70, FIND(":", H70)-1))</f>
        <v>0</v>
      </c>
      <c r="J70" t="s">
        <v>9</v>
      </c>
      <c r="K70" t="s">
        <v>11</v>
      </c>
    </row>
    <row r="71" spans="1:11">
      <c r="A71" s="2"/>
      <c r="B71" s="2"/>
      <c r="C71" s="2" t="s">
        <v>112</v>
      </c>
      <c r="D71" s="3" t="s">
        <v>245</v>
      </c>
      <c r="E71" t="s">
        <v>311</v>
      </c>
      <c r="F71">
        <v>1</v>
      </c>
      <c r="G71" s="1" t="s">
        <v>342</v>
      </c>
      <c r="H71" s="1" t="s">
        <v>405</v>
      </c>
      <c r="I71">
        <f>F71*VALUE(LEFT(H71, FIND(":", H71)-1))</f>
        <v>0</v>
      </c>
      <c r="J71" t="s">
        <v>9</v>
      </c>
      <c r="K71" t="s">
        <v>11</v>
      </c>
    </row>
    <row r="72" spans="1:11">
      <c r="A72" s="2"/>
      <c r="B72" s="2"/>
      <c r="C72" s="2" t="s">
        <v>113</v>
      </c>
      <c r="D72" s="3" t="s">
        <v>246</v>
      </c>
      <c r="E72" t="s">
        <v>311</v>
      </c>
      <c r="F72">
        <v>1</v>
      </c>
      <c r="G72" s="1" t="s">
        <v>343</v>
      </c>
      <c r="H72" s="1" t="s">
        <v>413</v>
      </c>
      <c r="I72">
        <f>F72*VALUE(LEFT(H72, FIND(":", H72)-1))</f>
        <v>0</v>
      </c>
      <c r="J72" t="s">
        <v>9</v>
      </c>
      <c r="K72" t="s">
        <v>11</v>
      </c>
    </row>
    <row r="73" spans="1:11">
      <c r="A73" s="2"/>
      <c r="B73" s="2"/>
      <c r="C73" s="2" t="s">
        <v>114</v>
      </c>
      <c r="D73" s="3" t="s">
        <v>247</v>
      </c>
      <c r="E73" t="s">
        <v>311</v>
      </c>
      <c r="F73">
        <v>1</v>
      </c>
      <c r="G73" s="1" t="s">
        <v>344</v>
      </c>
      <c r="H73" s="1" t="s">
        <v>413</v>
      </c>
      <c r="I73">
        <f>F73*VALUE(LEFT(H73, FIND(":", H73)-1))</f>
        <v>0</v>
      </c>
      <c r="J73" t="s">
        <v>9</v>
      </c>
      <c r="K73" t="s">
        <v>11</v>
      </c>
    </row>
    <row r="74" spans="1:11">
      <c r="A74" s="2"/>
      <c r="B74" s="2"/>
      <c r="C74" s="2" t="s">
        <v>115</v>
      </c>
      <c r="D74" s="3" t="s">
        <v>248</v>
      </c>
      <c r="E74" t="s">
        <v>311</v>
      </c>
      <c r="F74">
        <v>1</v>
      </c>
      <c r="G74" s="1" t="s">
        <v>345</v>
      </c>
      <c r="H74" s="1" t="s">
        <v>405</v>
      </c>
      <c r="I74">
        <f>F74*VALUE(LEFT(H74, FIND(":", H74)-1))</f>
        <v>0</v>
      </c>
      <c r="J74" t="s">
        <v>9</v>
      </c>
      <c r="K74" t="s">
        <v>11</v>
      </c>
    </row>
    <row r="75" spans="1:11">
      <c r="A75" s="2"/>
      <c r="B75" s="2"/>
      <c r="C75" s="2" t="s">
        <v>116</v>
      </c>
      <c r="D75" s="3" t="s">
        <v>249</v>
      </c>
      <c r="E75" t="s">
        <v>310</v>
      </c>
      <c r="F75">
        <v>1</v>
      </c>
      <c r="H75" s="1" t="s">
        <v>406</v>
      </c>
      <c r="I75">
        <f>F75*VALUE(LEFT(H75, FIND(":", H75)-1))</f>
        <v>0</v>
      </c>
      <c r="J75" t="s">
        <v>9</v>
      </c>
      <c r="K75" t="s">
        <v>11</v>
      </c>
    </row>
    <row r="76" spans="1:11">
      <c r="A76" s="2"/>
      <c r="B76" s="2" t="s">
        <v>12</v>
      </c>
      <c r="C76" s="2" t="s">
        <v>117</v>
      </c>
      <c r="D76" s="3" t="s">
        <v>250</v>
      </c>
      <c r="E76" t="s">
        <v>311</v>
      </c>
      <c r="F76">
        <v>1</v>
      </c>
      <c r="G76" s="1" t="s">
        <v>346</v>
      </c>
      <c r="H76" s="1" t="s">
        <v>405</v>
      </c>
      <c r="I76">
        <f>F76*VALUE(LEFT(H76, FIND(":", H76)-1))</f>
        <v>0</v>
      </c>
      <c r="J76" t="s">
        <v>9</v>
      </c>
      <c r="K76" t="s">
        <v>12</v>
      </c>
    </row>
    <row r="77" spans="1:11">
      <c r="A77" s="2"/>
      <c r="B77" s="2"/>
      <c r="C77" s="2" t="s">
        <v>118</v>
      </c>
      <c r="D77" s="3" t="s">
        <v>251</v>
      </c>
      <c r="E77" t="s">
        <v>311</v>
      </c>
      <c r="F77">
        <v>1</v>
      </c>
      <c r="G77" s="1" t="s">
        <v>347</v>
      </c>
      <c r="H77" s="1" t="s">
        <v>405</v>
      </c>
      <c r="I77">
        <f>F77*VALUE(LEFT(H77, FIND(":", H77)-1))</f>
        <v>0</v>
      </c>
      <c r="J77" t="s">
        <v>9</v>
      </c>
      <c r="K77" t="s">
        <v>12</v>
      </c>
    </row>
    <row r="78" spans="1:11">
      <c r="A78" s="2"/>
      <c r="B78" s="2"/>
      <c r="C78" s="2" t="s">
        <v>119</v>
      </c>
      <c r="D78" s="3" t="s">
        <v>252</v>
      </c>
      <c r="E78" t="s">
        <v>311</v>
      </c>
      <c r="F78">
        <v>1</v>
      </c>
      <c r="H78" s="1" t="s">
        <v>415</v>
      </c>
      <c r="I78">
        <f>F78*VALUE(LEFT(H78, FIND(":", H78)-1))</f>
        <v>0</v>
      </c>
      <c r="J78" t="s">
        <v>9</v>
      </c>
      <c r="K78" t="s">
        <v>12</v>
      </c>
    </row>
    <row r="79" spans="1:11">
      <c r="A79" s="2"/>
      <c r="B79" s="2"/>
      <c r="C79" s="2" t="s">
        <v>120</v>
      </c>
      <c r="D79" s="3" t="s">
        <v>253</v>
      </c>
      <c r="E79" t="s">
        <v>310</v>
      </c>
      <c r="F79">
        <v>1</v>
      </c>
      <c r="G79" s="1" t="s">
        <v>348</v>
      </c>
      <c r="H79" s="1" t="s">
        <v>405</v>
      </c>
      <c r="I79">
        <f>F79*VALUE(LEFT(H79, FIND(":", H79)-1))</f>
        <v>0</v>
      </c>
      <c r="J79" t="s">
        <v>9</v>
      </c>
      <c r="K79" t="s">
        <v>12</v>
      </c>
    </row>
    <row r="80" spans="1:11">
      <c r="A80" s="2"/>
      <c r="B80" s="2"/>
      <c r="C80" s="2" t="s">
        <v>121</v>
      </c>
      <c r="D80" s="3" t="s">
        <v>254</v>
      </c>
      <c r="E80" t="s">
        <v>310</v>
      </c>
      <c r="F80">
        <v>1</v>
      </c>
      <c r="G80" s="1" t="s">
        <v>349</v>
      </c>
      <c r="H80" s="1" t="s">
        <v>405</v>
      </c>
      <c r="I80">
        <f>F80*VALUE(LEFT(H80, FIND(":", H80)-1))</f>
        <v>0</v>
      </c>
      <c r="J80" t="s">
        <v>9</v>
      </c>
      <c r="K80" t="s">
        <v>12</v>
      </c>
    </row>
    <row r="81" spans="1:11">
      <c r="A81" s="2"/>
      <c r="B81" s="2"/>
      <c r="C81" s="2" t="s">
        <v>122</v>
      </c>
      <c r="D81" s="3" t="s">
        <v>255</v>
      </c>
      <c r="E81" t="s">
        <v>311</v>
      </c>
      <c r="F81">
        <v>1</v>
      </c>
      <c r="G81" s="1" t="s">
        <v>350</v>
      </c>
      <c r="H81" s="1" t="s">
        <v>405</v>
      </c>
      <c r="I81">
        <f>F81*VALUE(LEFT(H81, FIND(":", H81)-1))</f>
        <v>0</v>
      </c>
      <c r="J81" t="s">
        <v>9</v>
      </c>
      <c r="K81" t="s">
        <v>12</v>
      </c>
    </row>
    <row r="82" spans="1:11">
      <c r="A82" s="2"/>
      <c r="B82" s="2"/>
      <c r="C82" s="2" t="s">
        <v>123</v>
      </c>
      <c r="D82" s="3" t="s">
        <v>256</v>
      </c>
      <c r="E82" t="s">
        <v>310</v>
      </c>
      <c r="F82">
        <v>1</v>
      </c>
      <c r="G82" s="1" t="s">
        <v>351</v>
      </c>
      <c r="H82" s="1" t="s">
        <v>416</v>
      </c>
      <c r="I82">
        <f>F82*VALUE(LEFT(H82, FIND(":", H82)-1))</f>
        <v>0</v>
      </c>
      <c r="J82" t="s">
        <v>9</v>
      </c>
      <c r="K82" t="s">
        <v>12</v>
      </c>
    </row>
    <row r="83" spans="1:11">
      <c r="A83" s="2"/>
      <c r="B83" s="2" t="s">
        <v>16</v>
      </c>
      <c r="C83" s="2" t="s">
        <v>124</v>
      </c>
      <c r="D83" s="3" t="s">
        <v>257</v>
      </c>
      <c r="E83" t="s">
        <v>310</v>
      </c>
      <c r="F83">
        <v>1</v>
      </c>
      <c r="H83" s="1" t="s">
        <v>406</v>
      </c>
      <c r="I83">
        <f>F83*VALUE(LEFT(H83, FIND(":", H83)-1))</f>
        <v>0</v>
      </c>
      <c r="J83" t="s">
        <v>9</v>
      </c>
      <c r="K83" t="s">
        <v>16</v>
      </c>
    </row>
    <row r="84" spans="1:11">
      <c r="A84" s="2"/>
      <c r="B84" s="2"/>
      <c r="C84" s="2" t="s">
        <v>125</v>
      </c>
      <c r="D84" s="3" t="s">
        <v>258</v>
      </c>
      <c r="E84" t="s">
        <v>310</v>
      </c>
      <c r="F84">
        <v>1</v>
      </c>
      <c r="H84" s="1" t="s">
        <v>406</v>
      </c>
      <c r="I84">
        <f>F84*VALUE(LEFT(H84, FIND(":", H84)-1))</f>
        <v>0</v>
      </c>
      <c r="J84" t="s">
        <v>9</v>
      </c>
      <c r="K84" t="s">
        <v>16</v>
      </c>
    </row>
    <row r="85" spans="1:11">
      <c r="A85" s="2"/>
      <c r="B85" s="2"/>
      <c r="C85" s="2" t="s">
        <v>126</v>
      </c>
      <c r="D85" s="3" t="s">
        <v>259</v>
      </c>
      <c r="E85" t="s">
        <v>310</v>
      </c>
      <c r="F85">
        <v>1</v>
      </c>
      <c r="H85" s="1" t="s">
        <v>406</v>
      </c>
      <c r="I85">
        <f>F85*VALUE(LEFT(H85, FIND(":", H85)-1))</f>
        <v>0</v>
      </c>
      <c r="J85" t="s">
        <v>9</v>
      </c>
      <c r="K85" t="s">
        <v>16</v>
      </c>
    </row>
    <row r="86" spans="1:11">
      <c r="A86" s="2"/>
      <c r="B86" s="2"/>
      <c r="C86" s="2" t="s">
        <v>127</v>
      </c>
      <c r="D86" s="3" t="s">
        <v>260</v>
      </c>
      <c r="E86" t="s">
        <v>311</v>
      </c>
      <c r="F86">
        <v>1</v>
      </c>
      <c r="H86" s="1" t="s">
        <v>417</v>
      </c>
      <c r="I86">
        <f>F86*VALUE(LEFT(H86, FIND(":", H86)-1))</f>
        <v>0</v>
      </c>
      <c r="J86" t="s">
        <v>9</v>
      </c>
      <c r="K86" t="s">
        <v>16</v>
      </c>
    </row>
    <row r="87" spans="1:11">
      <c r="A87" s="2"/>
      <c r="B87" s="2"/>
      <c r="C87" s="2" t="s">
        <v>128</v>
      </c>
      <c r="D87" s="3" t="s">
        <v>261</v>
      </c>
      <c r="E87" t="s">
        <v>310</v>
      </c>
      <c r="F87">
        <v>1</v>
      </c>
      <c r="H87" s="1" t="s">
        <v>406</v>
      </c>
      <c r="I87">
        <f>F87*VALUE(LEFT(H87, FIND(":", H87)-1))</f>
        <v>0</v>
      </c>
      <c r="J87" t="s">
        <v>9</v>
      </c>
      <c r="K87" t="s">
        <v>16</v>
      </c>
    </row>
    <row r="88" spans="1:11">
      <c r="A88" s="2"/>
      <c r="B88" s="2"/>
      <c r="C88" s="2" t="s">
        <v>129</v>
      </c>
      <c r="D88" s="3" t="s">
        <v>262</v>
      </c>
      <c r="E88" t="s">
        <v>311</v>
      </c>
      <c r="F88">
        <v>1</v>
      </c>
      <c r="G88" s="1" t="s">
        <v>352</v>
      </c>
      <c r="H88" s="1" t="s">
        <v>405</v>
      </c>
      <c r="I88">
        <f>F88*VALUE(LEFT(H88, FIND(":", H88)-1))</f>
        <v>0</v>
      </c>
      <c r="J88" t="s">
        <v>9</v>
      </c>
      <c r="K88" t="s">
        <v>16</v>
      </c>
    </row>
    <row r="89" spans="1:11">
      <c r="A89" s="2"/>
      <c r="B89" s="2"/>
      <c r="C89" s="2" t="s">
        <v>130</v>
      </c>
      <c r="D89" s="3" t="s">
        <v>263</v>
      </c>
      <c r="E89" t="s">
        <v>311</v>
      </c>
      <c r="F89">
        <v>1</v>
      </c>
      <c r="G89" s="1" t="s">
        <v>353</v>
      </c>
      <c r="H89" s="1" t="s">
        <v>405</v>
      </c>
      <c r="I89">
        <f>F89*VALUE(LEFT(H89, FIND(":", H89)-1))</f>
        <v>0</v>
      </c>
      <c r="J89" t="s">
        <v>9</v>
      </c>
      <c r="K89" t="s">
        <v>16</v>
      </c>
    </row>
    <row r="90" spans="1:11">
      <c r="A90" s="2"/>
      <c r="B90" s="2"/>
      <c r="C90" s="2" t="s">
        <v>131</v>
      </c>
      <c r="D90" s="3" t="s">
        <v>264</v>
      </c>
      <c r="E90" t="s">
        <v>310</v>
      </c>
      <c r="F90">
        <v>1</v>
      </c>
      <c r="H90" s="1" t="s">
        <v>406</v>
      </c>
      <c r="I90">
        <f>F90*VALUE(LEFT(H90, FIND(":", H90)-1))</f>
        <v>0</v>
      </c>
      <c r="J90" t="s">
        <v>9</v>
      </c>
      <c r="K90" t="s">
        <v>16</v>
      </c>
    </row>
    <row r="91" spans="1:11">
      <c r="A91" s="2"/>
      <c r="B91" s="2"/>
      <c r="C91" s="2" t="s">
        <v>132</v>
      </c>
      <c r="D91" s="3" t="s">
        <v>265</v>
      </c>
      <c r="E91" t="s">
        <v>314</v>
      </c>
      <c r="F91">
        <v>1</v>
      </c>
      <c r="H91" s="1" t="s">
        <v>417</v>
      </c>
      <c r="I91">
        <f>F91*VALUE(LEFT(H91, FIND(":", H91)-1))</f>
        <v>0</v>
      </c>
      <c r="J91" t="s">
        <v>9</v>
      </c>
      <c r="K91" t="s">
        <v>16</v>
      </c>
    </row>
    <row r="92" spans="1:11">
      <c r="A92" s="2"/>
      <c r="B92" s="2" t="s">
        <v>29</v>
      </c>
      <c r="C92" s="2" t="s">
        <v>133</v>
      </c>
      <c r="D92" s="3" t="s">
        <v>266</v>
      </c>
      <c r="E92" t="s">
        <v>310</v>
      </c>
      <c r="F92">
        <v>1</v>
      </c>
      <c r="H92" s="1" t="s">
        <v>406</v>
      </c>
      <c r="I92">
        <f>F92*VALUE(LEFT(H92, FIND(":", H92)-1))</f>
        <v>0</v>
      </c>
      <c r="J92" t="s">
        <v>9</v>
      </c>
      <c r="K92" t="s">
        <v>29</v>
      </c>
    </row>
    <row r="93" spans="1:11">
      <c r="A93" s="2"/>
      <c r="B93" s="2"/>
      <c r="C93" s="2" t="s">
        <v>134</v>
      </c>
      <c r="D93" s="3" t="s">
        <v>267</v>
      </c>
      <c r="E93" t="s">
        <v>311</v>
      </c>
      <c r="F93">
        <v>1</v>
      </c>
      <c r="G93" s="1" t="s">
        <v>354</v>
      </c>
      <c r="H93" s="1" t="s">
        <v>405</v>
      </c>
      <c r="I93">
        <f>F93*VALUE(LEFT(H93, FIND(":", H93)-1))</f>
        <v>0</v>
      </c>
      <c r="J93" t="s">
        <v>9</v>
      </c>
      <c r="K93" t="s">
        <v>29</v>
      </c>
    </row>
    <row r="94" spans="1:11">
      <c r="A94" s="2"/>
      <c r="B94" s="2"/>
      <c r="C94" s="2" t="s">
        <v>135</v>
      </c>
      <c r="D94" s="3" t="s">
        <v>268</v>
      </c>
      <c r="E94" t="s">
        <v>311</v>
      </c>
      <c r="F94">
        <v>1</v>
      </c>
      <c r="G94" s="1" t="s">
        <v>355</v>
      </c>
      <c r="H94" s="1" t="s">
        <v>405</v>
      </c>
      <c r="I94">
        <f>F94*VALUE(LEFT(H94, FIND(":", H94)-1))</f>
        <v>0</v>
      </c>
      <c r="J94" t="s">
        <v>9</v>
      </c>
      <c r="K94" t="s">
        <v>29</v>
      </c>
    </row>
    <row r="95" spans="1:11">
      <c r="A95" s="2"/>
      <c r="B95" s="2"/>
      <c r="C95" s="2" t="s">
        <v>136</v>
      </c>
      <c r="D95" s="3" t="s">
        <v>269</v>
      </c>
      <c r="E95" t="s">
        <v>310</v>
      </c>
      <c r="F95">
        <v>1</v>
      </c>
      <c r="H95" s="1" t="s">
        <v>406</v>
      </c>
      <c r="I95">
        <f>F95*VALUE(LEFT(H95, FIND(":", H95)-1))</f>
        <v>0</v>
      </c>
      <c r="J95" t="s">
        <v>9</v>
      </c>
      <c r="K95" t="s">
        <v>29</v>
      </c>
    </row>
    <row r="96" spans="1:11">
      <c r="A96" s="2"/>
      <c r="B96" s="2"/>
      <c r="C96" s="2" t="s">
        <v>137</v>
      </c>
      <c r="D96" s="3" t="s">
        <v>270</v>
      </c>
      <c r="E96" t="s">
        <v>311</v>
      </c>
      <c r="F96">
        <v>1</v>
      </c>
      <c r="H96" s="1" t="s">
        <v>418</v>
      </c>
      <c r="I96">
        <f>F96*VALUE(LEFT(H96, FIND(":", H96)-1))</f>
        <v>0</v>
      </c>
      <c r="J96" t="s">
        <v>9</v>
      </c>
      <c r="K96" t="s">
        <v>29</v>
      </c>
    </row>
    <row r="97" spans="1:11">
      <c r="A97" s="2"/>
      <c r="B97" s="2"/>
      <c r="C97" s="2" t="s">
        <v>138</v>
      </c>
      <c r="D97" s="3" t="s">
        <v>271</v>
      </c>
      <c r="E97" t="s">
        <v>310</v>
      </c>
      <c r="F97">
        <v>1</v>
      </c>
      <c r="H97" s="1" t="s">
        <v>406</v>
      </c>
      <c r="I97">
        <f>F97*VALUE(LEFT(H97, FIND(":", H97)-1))</f>
        <v>0</v>
      </c>
      <c r="J97" t="s">
        <v>9</v>
      </c>
      <c r="K97" t="s">
        <v>29</v>
      </c>
    </row>
    <row r="98" spans="1:11">
      <c r="A98" s="2"/>
      <c r="B98" s="2"/>
      <c r="C98" s="2" t="s">
        <v>139</v>
      </c>
      <c r="D98" s="3" t="s">
        <v>272</v>
      </c>
      <c r="E98" t="s">
        <v>310</v>
      </c>
      <c r="F98">
        <v>1</v>
      </c>
      <c r="H98" s="1" t="s">
        <v>406</v>
      </c>
      <c r="I98">
        <f>F98*VALUE(LEFT(H98, FIND(":", H98)-1))</f>
        <v>0</v>
      </c>
      <c r="J98" t="s">
        <v>9</v>
      </c>
      <c r="K98" t="s">
        <v>29</v>
      </c>
    </row>
    <row r="99" spans="1:11">
      <c r="A99" s="2" t="s">
        <v>8</v>
      </c>
      <c r="B99" s="2" t="s">
        <v>24</v>
      </c>
      <c r="C99" s="2" t="s">
        <v>140</v>
      </c>
      <c r="D99" s="3" t="s">
        <v>273</v>
      </c>
      <c r="E99" t="s">
        <v>310</v>
      </c>
      <c r="F99">
        <v>1</v>
      </c>
      <c r="H99" s="1" t="s">
        <v>406</v>
      </c>
      <c r="I99">
        <f>F99*VALUE(LEFT(H99, FIND(":", H99)-1))</f>
        <v>0</v>
      </c>
      <c r="J99" t="s">
        <v>8</v>
      </c>
      <c r="K99" t="s">
        <v>24</v>
      </c>
    </row>
    <row r="100" spans="1:11">
      <c r="A100" s="2"/>
      <c r="B100" s="2"/>
      <c r="C100" s="2" t="s">
        <v>141</v>
      </c>
      <c r="D100" s="3" t="s">
        <v>274</v>
      </c>
      <c r="E100" t="s">
        <v>310</v>
      </c>
      <c r="F100">
        <v>1</v>
      </c>
      <c r="H100" s="1" t="s">
        <v>406</v>
      </c>
      <c r="I100">
        <f>F100*VALUE(LEFT(H100, FIND(":", H100)-1))</f>
        <v>0</v>
      </c>
      <c r="J100" t="s">
        <v>8</v>
      </c>
      <c r="K100" t="s">
        <v>24</v>
      </c>
    </row>
    <row r="101" spans="1:11">
      <c r="A101" s="2"/>
      <c r="B101" s="2"/>
      <c r="C101" s="2" t="s">
        <v>142</v>
      </c>
      <c r="D101" s="3" t="s">
        <v>275</v>
      </c>
      <c r="E101" t="s">
        <v>310</v>
      </c>
      <c r="F101">
        <v>1</v>
      </c>
      <c r="H101" s="1" t="s">
        <v>406</v>
      </c>
      <c r="I101">
        <f>F101*VALUE(LEFT(H101, FIND(":", H101)-1))</f>
        <v>0</v>
      </c>
      <c r="J101" t="s">
        <v>8</v>
      </c>
      <c r="K101" t="s">
        <v>24</v>
      </c>
    </row>
    <row r="102" spans="1:11">
      <c r="A102" s="2"/>
      <c r="B102" s="2"/>
      <c r="C102" s="2" t="s">
        <v>143</v>
      </c>
      <c r="D102" s="3" t="s">
        <v>276</v>
      </c>
      <c r="E102" t="s">
        <v>310</v>
      </c>
      <c r="F102">
        <v>1</v>
      </c>
      <c r="H102" s="1" t="s">
        <v>406</v>
      </c>
      <c r="I102">
        <f>F102*VALUE(LEFT(H102, FIND(":", H102)-1))</f>
        <v>0</v>
      </c>
      <c r="J102" t="s">
        <v>8</v>
      </c>
      <c r="K102" t="s">
        <v>24</v>
      </c>
    </row>
    <row r="103" spans="1:11">
      <c r="A103" s="2"/>
      <c r="B103" s="2"/>
      <c r="C103" s="2" t="s">
        <v>144</v>
      </c>
      <c r="D103" s="3" t="s">
        <v>277</v>
      </c>
      <c r="E103" t="s">
        <v>311</v>
      </c>
      <c r="F103">
        <v>1</v>
      </c>
      <c r="H103" s="1" t="s">
        <v>419</v>
      </c>
      <c r="I103">
        <f>F103*VALUE(LEFT(H103, FIND(":", H103)-1))</f>
        <v>0</v>
      </c>
      <c r="J103" t="s">
        <v>8</v>
      </c>
      <c r="K103" t="s">
        <v>24</v>
      </c>
    </row>
    <row r="104" spans="1:11">
      <c r="A104" s="2"/>
      <c r="B104" s="2"/>
      <c r="C104" s="2" t="s">
        <v>145</v>
      </c>
      <c r="D104" s="3" t="s">
        <v>278</v>
      </c>
      <c r="E104" t="s">
        <v>310</v>
      </c>
      <c r="F104">
        <v>1</v>
      </c>
      <c r="H104" s="1" t="s">
        <v>406</v>
      </c>
      <c r="I104">
        <f>F104*VALUE(LEFT(H104, FIND(":", H104)-1))</f>
        <v>0</v>
      </c>
      <c r="J104" t="s">
        <v>8</v>
      </c>
      <c r="K104" t="s">
        <v>24</v>
      </c>
    </row>
    <row r="105" spans="1:11">
      <c r="A105" s="2"/>
      <c r="B105" s="2" t="s">
        <v>15</v>
      </c>
      <c r="C105" s="2" t="s">
        <v>146</v>
      </c>
      <c r="D105" s="3" t="s">
        <v>279</v>
      </c>
      <c r="E105" t="s">
        <v>311</v>
      </c>
      <c r="F105">
        <v>1</v>
      </c>
      <c r="H105" s="1" t="s">
        <v>411</v>
      </c>
      <c r="I105">
        <f>F105*VALUE(LEFT(H105, FIND(":", H105)-1))</f>
        <v>0</v>
      </c>
      <c r="J105" t="s">
        <v>8</v>
      </c>
      <c r="K105" t="s">
        <v>15</v>
      </c>
    </row>
    <row r="106" spans="1:11">
      <c r="A106" s="2"/>
      <c r="B106" s="2"/>
      <c r="C106" s="2" t="s">
        <v>147</v>
      </c>
      <c r="D106" s="3" t="s">
        <v>280</v>
      </c>
      <c r="E106" t="s">
        <v>311</v>
      </c>
      <c r="F106">
        <v>1</v>
      </c>
      <c r="H106" s="1" t="s">
        <v>411</v>
      </c>
      <c r="I106">
        <f>F106*VALUE(LEFT(H106, FIND(":", H106)-1))</f>
        <v>0</v>
      </c>
      <c r="J106" t="s">
        <v>8</v>
      </c>
      <c r="K106" t="s">
        <v>15</v>
      </c>
    </row>
    <row r="107" spans="1:11">
      <c r="A107" s="2"/>
      <c r="B107" s="2"/>
      <c r="C107" s="2" t="s">
        <v>148</v>
      </c>
      <c r="D107" s="3" t="s">
        <v>281</v>
      </c>
      <c r="E107" t="s">
        <v>310</v>
      </c>
      <c r="F107">
        <v>1</v>
      </c>
      <c r="H107" s="1" t="s">
        <v>406</v>
      </c>
      <c r="I107">
        <f>F107*VALUE(LEFT(H107, FIND(":", H107)-1))</f>
        <v>0</v>
      </c>
      <c r="J107" t="s">
        <v>8</v>
      </c>
      <c r="K107" t="s">
        <v>15</v>
      </c>
    </row>
    <row r="108" spans="1:11">
      <c r="A108" s="2"/>
      <c r="B108" s="2"/>
      <c r="C108" s="2" t="s">
        <v>149</v>
      </c>
      <c r="D108" s="3" t="s">
        <v>282</v>
      </c>
      <c r="E108" t="s">
        <v>310</v>
      </c>
      <c r="F108">
        <v>1</v>
      </c>
      <c r="H108" s="1" t="s">
        <v>406</v>
      </c>
      <c r="I108">
        <f>F108*VALUE(LEFT(H108, FIND(":", H108)-1))</f>
        <v>0</v>
      </c>
      <c r="J108" t="s">
        <v>8</v>
      </c>
      <c r="K108" t="s">
        <v>15</v>
      </c>
    </row>
    <row r="109" spans="1:11">
      <c r="A109" s="2"/>
      <c r="B109" s="2"/>
      <c r="C109" s="2" t="s">
        <v>150</v>
      </c>
      <c r="D109" s="3" t="s">
        <v>283</v>
      </c>
      <c r="E109" t="s">
        <v>310</v>
      </c>
      <c r="F109">
        <v>1</v>
      </c>
      <c r="H109" s="1" t="s">
        <v>406</v>
      </c>
      <c r="I109">
        <f>F109*VALUE(LEFT(H109, FIND(":", H109)-1))</f>
        <v>0</v>
      </c>
      <c r="J109" t="s">
        <v>8</v>
      </c>
      <c r="K109" t="s">
        <v>15</v>
      </c>
    </row>
    <row r="110" spans="1:11">
      <c r="A110" s="2"/>
      <c r="B110" s="2"/>
      <c r="C110" s="2" t="s">
        <v>151</v>
      </c>
      <c r="D110" s="3" t="s">
        <v>284</v>
      </c>
      <c r="E110" t="s">
        <v>310</v>
      </c>
      <c r="F110">
        <v>1</v>
      </c>
      <c r="H110" s="1" t="s">
        <v>406</v>
      </c>
      <c r="I110">
        <f>F110*VALUE(LEFT(H110, FIND(":", H110)-1))</f>
        <v>0</v>
      </c>
      <c r="J110" t="s">
        <v>8</v>
      </c>
      <c r="K110" t="s">
        <v>15</v>
      </c>
    </row>
    <row r="111" spans="1:11">
      <c r="A111" s="2"/>
      <c r="B111" s="2" t="s">
        <v>21</v>
      </c>
      <c r="C111" s="2" t="s">
        <v>152</v>
      </c>
      <c r="D111" s="3" t="s">
        <v>285</v>
      </c>
      <c r="E111" t="s">
        <v>310</v>
      </c>
      <c r="F111">
        <v>1</v>
      </c>
      <c r="H111" s="1" t="s">
        <v>406</v>
      </c>
      <c r="I111">
        <f>F111*VALUE(LEFT(H111, FIND(":", H111)-1))</f>
        <v>0</v>
      </c>
      <c r="J111" t="s">
        <v>8</v>
      </c>
      <c r="K111" t="s">
        <v>21</v>
      </c>
    </row>
    <row r="112" spans="1:11">
      <c r="A112" s="2"/>
      <c r="B112" s="2"/>
      <c r="C112" s="2" t="s">
        <v>153</v>
      </c>
      <c r="D112" s="3" t="s">
        <v>286</v>
      </c>
      <c r="E112" t="s">
        <v>315</v>
      </c>
      <c r="F112">
        <v>1</v>
      </c>
      <c r="G112" s="1" t="s">
        <v>356</v>
      </c>
      <c r="H112" s="1" t="s">
        <v>405</v>
      </c>
      <c r="I112">
        <f>F112*VALUE(LEFT(H112, FIND(":", H112)-1))</f>
        <v>0</v>
      </c>
      <c r="J112" t="s">
        <v>8</v>
      </c>
      <c r="K112" t="s">
        <v>21</v>
      </c>
    </row>
    <row r="113" spans="1:11">
      <c r="A113" s="2"/>
      <c r="B113" s="2"/>
      <c r="C113" s="2" t="s">
        <v>154</v>
      </c>
      <c r="D113" s="3" t="s">
        <v>287</v>
      </c>
      <c r="E113" t="s">
        <v>315</v>
      </c>
      <c r="F113">
        <v>1</v>
      </c>
      <c r="H113" s="1" t="s">
        <v>420</v>
      </c>
      <c r="I113">
        <f>F113*VALUE(LEFT(H113, FIND(":", H113)-1))</f>
        <v>0</v>
      </c>
      <c r="J113" t="s">
        <v>8</v>
      </c>
      <c r="K113" t="s">
        <v>21</v>
      </c>
    </row>
    <row r="114" spans="1:11">
      <c r="A114" s="2"/>
      <c r="B114" s="2"/>
      <c r="C114" s="2" t="s">
        <v>155</v>
      </c>
      <c r="D114" s="3" t="s">
        <v>288</v>
      </c>
      <c r="E114" t="s">
        <v>311</v>
      </c>
      <c r="F114">
        <v>1</v>
      </c>
      <c r="G114" s="1" t="s">
        <v>357</v>
      </c>
      <c r="H114" s="1" t="s">
        <v>413</v>
      </c>
      <c r="I114">
        <f>F114*VALUE(LEFT(H114, FIND(":", H114)-1))</f>
        <v>0</v>
      </c>
      <c r="J114" t="s">
        <v>8</v>
      </c>
      <c r="K114" t="s">
        <v>21</v>
      </c>
    </row>
    <row r="115" spans="1:11">
      <c r="A115" s="2"/>
      <c r="B115" s="2"/>
      <c r="C115" s="2" t="s">
        <v>156</v>
      </c>
      <c r="D115" s="3" t="s">
        <v>289</v>
      </c>
      <c r="E115" t="s">
        <v>311</v>
      </c>
      <c r="F115">
        <v>1</v>
      </c>
      <c r="H115" s="1" t="s">
        <v>421</v>
      </c>
      <c r="I115">
        <f>F115*VALUE(LEFT(H115, FIND(":", H115)-1))</f>
        <v>0</v>
      </c>
      <c r="J115" t="s">
        <v>8</v>
      </c>
      <c r="K115" t="s">
        <v>21</v>
      </c>
    </row>
    <row r="116" spans="1:11">
      <c r="A116" s="2"/>
      <c r="B116" s="2"/>
      <c r="C116" s="2" t="s">
        <v>157</v>
      </c>
      <c r="D116" s="3" t="s">
        <v>290</v>
      </c>
      <c r="E116" t="s">
        <v>311</v>
      </c>
      <c r="F116">
        <v>1</v>
      </c>
      <c r="G116" s="1" t="s">
        <v>358</v>
      </c>
      <c r="H116" s="1" t="s">
        <v>405</v>
      </c>
      <c r="I116">
        <f>F116*VALUE(LEFT(H116, FIND(":", H116)-1))</f>
        <v>0</v>
      </c>
      <c r="J116" t="s">
        <v>8</v>
      </c>
      <c r="K116" t="s">
        <v>21</v>
      </c>
    </row>
    <row r="117" spans="1:11">
      <c r="A117" s="2"/>
      <c r="B117" s="2" t="s">
        <v>26</v>
      </c>
      <c r="C117" s="2" t="s">
        <v>158</v>
      </c>
      <c r="D117" s="3" t="s">
        <v>291</v>
      </c>
      <c r="E117" t="s">
        <v>309</v>
      </c>
      <c r="F117">
        <v>1</v>
      </c>
      <c r="G117" s="1" t="s">
        <v>359</v>
      </c>
      <c r="H117" s="1" t="s">
        <v>405</v>
      </c>
      <c r="I117">
        <f>F117*VALUE(LEFT(H117, FIND(":", H117)-1))</f>
        <v>0</v>
      </c>
      <c r="J117" t="s">
        <v>8</v>
      </c>
      <c r="K117" t="s">
        <v>26</v>
      </c>
    </row>
    <row r="118" spans="1:11">
      <c r="A118" s="2"/>
      <c r="B118" s="2"/>
      <c r="C118" s="2" t="s">
        <v>159</v>
      </c>
      <c r="D118" s="3" t="s">
        <v>292</v>
      </c>
      <c r="E118" t="s">
        <v>309</v>
      </c>
      <c r="F118">
        <v>1</v>
      </c>
      <c r="G118" s="1" t="s">
        <v>360</v>
      </c>
      <c r="H118" s="1" t="s">
        <v>405</v>
      </c>
      <c r="I118">
        <f>F118*VALUE(LEFT(H118, FIND(":", H118)-1))</f>
        <v>0</v>
      </c>
      <c r="J118" t="s">
        <v>8</v>
      </c>
      <c r="K118" t="s">
        <v>26</v>
      </c>
    </row>
    <row r="119" spans="1:11">
      <c r="A119" s="2"/>
      <c r="B119" s="2"/>
      <c r="C119" s="2" t="s">
        <v>160</v>
      </c>
      <c r="D119" s="3" t="s">
        <v>293</v>
      </c>
      <c r="E119" t="s">
        <v>309</v>
      </c>
      <c r="F119">
        <v>1</v>
      </c>
      <c r="G119" s="1" t="s">
        <v>361</v>
      </c>
      <c r="H119" s="1" t="s">
        <v>405</v>
      </c>
      <c r="I119">
        <f>F119*VALUE(LEFT(H119, FIND(":", H119)-1))</f>
        <v>0</v>
      </c>
      <c r="J119" t="s">
        <v>8</v>
      </c>
      <c r="K119" t="s">
        <v>26</v>
      </c>
    </row>
    <row r="120" spans="1:11">
      <c r="A120" s="2"/>
      <c r="B120" s="2"/>
      <c r="C120" s="2" t="s">
        <v>161</v>
      </c>
      <c r="D120" s="3" t="s">
        <v>294</v>
      </c>
      <c r="E120" t="s">
        <v>309</v>
      </c>
      <c r="F120">
        <v>1</v>
      </c>
      <c r="G120" s="1" t="s">
        <v>362</v>
      </c>
      <c r="H120" s="1" t="s">
        <v>405</v>
      </c>
      <c r="I120">
        <f>F120*VALUE(LEFT(H120, FIND(":", H120)-1))</f>
        <v>0</v>
      </c>
      <c r="J120" t="s">
        <v>8</v>
      </c>
      <c r="K120" t="s">
        <v>26</v>
      </c>
    </row>
    <row r="121" spans="1:11">
      <c r="A121" s="2"/>
      <c r="B121" s="2"/>
      <c r="C121" s="2" t="s">
        <v>162</v>
      </c>
      <c r="D121" s="3" t="s">
        <v>295</v>
      </c>
      <c r="E121" t="s">
        <v>311</v>
      </c>
      <c r="F121">
        <v>1</v>
      </c>
      <c r="G121" s="1" t="s">
        <v>363</v>
      </c>
      <c r="H121" s="1" t="s">
        <v>405</v>
      </c>
      <c r="I121">
        <f>F121*VALUE(LEFT(H121, FIND(":", H121)-1))</f>
        <v>0</v>
      </c>
      <c r="J121" t="s">
        <v>8</v>
      </c>
      <c r="K121" t="s">
        <v>26</v>
      </c>
    </row>
    <row r="122" spans="1:11">
      <c r="A122" s="2"/>
      <c r="B122" s="2"/>
      <c r="C122" s="2" t="s">
        <v>163</v>
      </c>
      <c r="D122" s="3" t="s">
        <v>296</v>
      </c>
      <c r="E122" t="s">
        <v>311</v>
      </c>
      <c r="F122">
        <v>1</v>
      </c>
      <c r="H122" s="1" t="s">
        <v>413</v>
      </c>
      <c r="I122">
        <f>F122*VALUE(LEFT(H122, FIND(":", H122)-1))</f>
        <v>0</v>
      </c>
      <c r="J122" t="s">
        <v>8</v>
      </c>
      <c r="K122" t="s">
        <v>26</v>
      </c>
    </row>
    <row r="123" spans="1:11">
      <c r="A123" s="2"/>
      <c r="B123" s="2"/>
      <c r="C123" s="2" t="s">
        <v>164</v>
      </c>
      <c r="D123" s="3" t="s">
        <v>297</v>
      </c>
      <c r="E123" t="s">
        <v>309</v>
      </c>
      <c r="F123">
        <v>1</v>
      </c>
      <c r="G123" s="1" t="s">
        <v>364</v>
      </c>
      <c r="H123" s="1" t="s">
        <v>405</v>
      </c>
      <c r="I123">
        <f>F123*VALUE(LEFT(H123, FIND(":", H123)-1))</f>
        <v>0</v>
      </c>
      <c r="J123" t="s">
        <v>8</v>
      </c>
      <c r="K123" t="s">
        <v>26</v>
      </c>
    </row>
    <row r="124" spans="1:11">
      <c r="A124" s="2"/>
      <c r="B124" s="2" t="s">
        <v>30</v>
      </c>
      <c r="C124" s="2" t="s">
        <v>165</v>
      </c>
      <c r="D124" s="3" t="s">
        <v>298</v>
      </c>
      <c r="E124" t="s">
        <v>311</v>
      </c>
      <c r="F124">
        <v>1</v>
      </c>
      <c r="G124" s="1" t="s">
        <v>365</v>
      </c>
      <c r="H124" s="1" t="s">
        <v>405</v>
      </c>
      <c r="I124">
        <f>F124*VALUE(LEFT(H124, FIND(":", H124)-1))</f>
        <v>0</v>
      </c>
      <c r="J124" t="s">
        <v>8</v>
      </c>
      <c r="K124" t="s">
        <v>30</v>
      </c>
    </row>
    <row r="125" spans="1:11">
      <c r="A125" s="2"/>
      <c r="B125" s="2"/>
      <c r="C125" s="2" t="s">
        <v>166</v>
      </c>
      <c r="D125" s="3" t="s">
        <v>299</v>
      </c>
      <c r="E125" t="s">
        <v>309</v>
      </c>
      <c r="F125">
        <v>1</v>
      </c>
      <c r="G125" s="1" t="s">
        <v>366</v>
      </c>
      <c r="H125" s="1" t="s">
        <v>405</v>
      </c>
      <c r="I125">
        <f>F125*VALUE(LEFT(H125, FIND(":", H125)-1))</f>
        <v>0</v>
      </c>
      <c r="J125" t="s">
        <v>8</v>
      </c>
      <c r="K125" t="s">
        <v>30</v>
      </c>
    </row>
    <row r="126" spans="1:11">
      <c r="A126" s="2"/>
      <c r="B126" s="2"/>
      <c r="C126" s="2" t="s">
        <v>167</v>
      </c>
      <c r="D126" s="3" t="s">
        <v>300</v>
      </c>
      <c r="E126" t="s">
        <v>309</v>
      </c>
      <c r="F126">
        <v>1</v>
      </c>
      <c r="G126" s="1" t="s">
        <v>367</v>
      </c>
      <c r="H126" s="1" t="s">
        <v>405</v>
      </c>
      <c r="I126">
        <f>F126*VALUE(LEFT(H126, FIND(":", H126)-1))</f>
        <v>0</v>
      </c>
      <c r="J126" t="s">
        <v>8</v>
      </c>
      <c r="K126" t="s">
        <v>30</v>
      </c>
    </row>
    <row r="127" spans="1:11">
      <c r="A127" s="2"/>
      <c r="B127" s="2"/>
      <c r="C127" s="2" t="s">
        <v>168</v>
      </c>
      <c r="D127" s="3" t="s">
        <v>301</v>
      </c>
      <c r="E127" t="s">
        <v>309</v>
      </c>
      <c r="F127">
        <v>1</v>
      </c>
      <c r="G127" s="1" t="s">
        <v>368</v>
      </c>
      <c r="H127" s="1" t="s">
        <v>405</v>
      </c>
      <c r="I127">
        <f>F127*VALUE(LEFT(H127, FIND(":", H127)-1))</f>
        <v>0</v>
      </c>
      <c r="J127" t="s">
        <v>8</v>
      </c>
      <c r="K127" t="s">
        <v>30</v>
      </c>
    </row>
    <row r="128" spans="1:11">
      <c r="A128" s="2"/>
      <c r="B128" s="2"/>
      <c r="C128" s="2" t="s">
        <v>169</v>
      </c>
      <c r="D128" s="3" t="s">
        <v>302</v>
      </c>
      <c r="E128" t="s">
        <v>309</v>
      </c>
      <c r="F128">
        <v>1</v>
      </c>
      <c r="G128" s="1" t="s">
        <v>369</v>
      </c>
      <c r="H128" s="1" t="s">
        <v>405</v>
      </c>
      <c r="I128">
        <f>F128*VALUE(LEFT(H128, FIND(":", H128)-1))</f>
        <v>0</v>
      </c>
      <c r="J128" t="s">
        <v>8</v>
      </c>
      <c r="K128" t="s">
        <v>30</v>
      </c>
    </row>
    <row r="129" spans="1:11">
      <c r="A129" s="2"/>
      <c r="B129" s="2"/>
      <c r="C129" s="2" t="s">
        <v>170</v>
      </c>
      <c r="D129" s="3" t="s">
        <v>303</v>
      </c>
      <c r="E129" t="s">
        <v>311</v>
      </c>
      <c r="F129">
        <v>1</v>
      </c>
      <c r="H129" s="1" t="s">
        <v>420</v>
      </c>
      <c r="I129">
        <f>F129*VALUE(LEFT(H129, FIND(":", H129)-1))</f>
        <v>0</v>
      </c>
      <c r="J129" t="s">
        <v>8</v>
      </c>
      <c r="K129" t="s">
        <v>30</v>
      </c>
    </row>
    <row r="130" spans="1:11">
      <c r="A130" s="2" t="s">
        <v>6</v>
      </c>
      <c r="B130" s="2" t="s">
        <v>27</v>
      </c>
      <c r="C130" s="2" t="s">
        <v>171</v>
      </c>
      <c r="D130" s="3" t="s">
        <v>304</v>
      </c>
      <c r="E130" t="s">
        <v>310</v>
      </c>
      <c r="F130">
        <v>1</v>
      </c>
      <c r="H130" s="1" t="s">
        <v>406</v>
      </c>
      <c r="I130">
        <f>F130*VALUE(LEFT(H130, FIND(":", H130)-1))</f>
        <v>0</v>
      </c>
      <c r="J130" t="s">
        <v>6</v>
      </c>
      <c r="K130" t="s">
        <v>27</v>
      </c>
    </row>
    <row r="131" spans="1:11">
      <c r="A131" s="2"/>
      <c r="B131" s="2"/>
      <c r="C131" s="2" t="s">
        <v>172</v>
      </c>
      <c r="D131" s="3" t="s">
        <v>305</v>
      </c>
      <c r="E131" t="s">
        <v>310</v>
      </c>
      <c r="F131">
        <v>1</v>
      </c>
      <c r="H131" s="1" t="s">
        <v>406</v>
      </c>
      <c r="I131">
        <f>F131*VALUE(LEFT(H131, FIND(":", H131)-1))</f>
        <v>0</v>
      </c>
      <c r="J131" t="s">
        <v>6</v>
      </c>
      <c r="K131" t="s">
        <v>27</v>
      </c>
    </row>
    <row r="132" spans="1:11">
      <c r="A132" s="2"/>
      <c r="B132" s="2"/>
      <c r="C132" s="2" t="s">
        <v>173</v>
      </c>
      <c r="D132" s="3" t="s">
        <v>306</v>
      </c>
      <c r="E132" t="s">
        <v>310</v>
      </c>
      <c r="F132">
        <v>1</v>
      </c>
      <c r="H132" s="1" t="s">
        <v>406</v>
      </c>
      <c r="I132">
        <f>F132*VALUE(LEFT(H132, FIND(":", H132)-1))</f>
        <v>0</v>
      </c>
      <c r="J132" t="s">
        <v>6</v>
      </c>
      <c r="K132" t="s">
        <v>27</v>
      </c>
    </row>
    <row r="133" spans="1:11">
      <c r="A133" s="2"/>
      <c r="B133" s="2"/>
      <c r="C133" s="2" t="s">
        <v>174</v>
      </c>
      <c r="D133" s="3" t="s">
        <v>307</v>
      </c>
      <c r="E133" t="s">
        <v>311</v>
      </c>
      <c r="F133">
        <v>1</v>
      </c>
      <c r="H133" s="1" t="s">
        <v>422</v>
      </c>
      <c r="I133">
        <f>F133*VALUE(LEFT(H133, FIND(":", H133)-1))</f>
        <v>0</v>
      </c>
      <c r="J133" t="s">
        <v>6</v>
      </c>
      <c r="K133" t="s">
        <v>27</v>
      </c>
    </row>
    <row r="134" spans="1:11">
      <c r="A134" s="2"/>
      <c r="B134" s="2"/>
      <c r="C134" s="2" t="s">
        <v>175</v>
      </c>
      <c r="D134" s="3" t="s">
        <v>308</v>
      </c>
      <c r="E134" t="s">
        <v>310</v>
      </c>
      <c r="F134">
        <v>1</v>
      </c>
      <c r="H134" s="1" t="s">
        <v>406</v>
      </c>
      <c r="I134">
        <f>F134*VALUE(LEFT(H134, FIND(":", H134)-1))</f>
        <v>0</v>
      </c>
      <c r="J134" t="s">
        <v>6</v>
      </c>
      <c r="K134" t="s">
        <v>27</v>
      </c>
    </row>
  </sheetData>
  <mergeCells count="25">
    <mergeCell ref="A2:A38"/>
    <mergeCell ref="A39:A98"/>
    <mergeCell ref="A99:A129"/>
    <mergeCell ref="A130:A134"/>
    <mergeCell ref="B2:B6"/>
    <mergeCell ref="B7:B11"/>
    <mergeCell ref="B12:B17"/>
    <mergeCell ref="B18:B22"/>
    <mergeCell ref="B23:B28"/>
    <mergeCell ref="B29:B34"/>
    <mergeCell ref="B35:B38"/>
    <mergeCell ref="B39:B50"/>
    <mergeCell ref="B51:B56"/>
    <mergeCell ref="B57:B62"/>
    <mergeCell ref="B63:B68"/>
    <mergeCell ref="B69:B75"/>
    <mergeCell ref="B76:B82"/>
    <mergeCell ref="B83:B91"/>
    <mergeCell ref="B92:B98"/>
    <mergeCell ref="B99:B104"/>
    <mergeCell ref="B105:B110"/>
    <mergeCell ref="B111:B116"/>
    <mergeCell ref="B117:B123"/>
    <mergeCell ref="B124:B129"/>
    <mergeCell ref="B130:B134"/>
  </mergeCells>
  <dataValidations count="133">
    <dataValidation type="list" allowBlank="1" showInputMessage="1" showErrorMessage="1" sqref="H2">
      <formula1>"0: 0 items completed,3: 1 item completed,5: 2 items completed,8: 3 items completed,10: 4 items completed"</formula1>
    </dataValidation>
    <dataValidation type="list" allowBlank="1" showInputMessage="1" showErrorMessage="1" sqref="H3">
      <formula1>"0: No items completed,3: 1 item completed,5: 2 items completed,8: 3 items completed,10: 4 items completed"</formula1>
    </dataValidation>
    <dataValidation type="list" allowBlank="1" showInputMessage="1" showErrorMessage="1" sqref="H4">
      <formula1>"0: No items completed,4: 1 item completed,7: 2 items completed,10: 3 items completed"</formula1>
    </dataValidation>
    <dataValidation type="list" allowBlank="1" showInputMessage="1" showErrorMessage="1" sqref="H5">
      <formula1>"0: No items completed,3: item 1 completed,5: items 1-2 completed,8: items 1-3 completed,10: items 1-4 completed"</formula1>
    </dataValidation>
    <dataValidation type="list" allowBlank="1" showInputMessage="1" showErrorMessage="1" sqref="H6">
      <formula1>"0: No items completed,3: 1 item completed,5: 2 items completed,8: 3 items completed,10: 4 items completed"</formula1>
    </dataValidation>
    <dataValidation type="list" allowBlank="1" showInputMessage="1" showErrorMessage="1" sqref="H7">
      <formula1>"0: Not done,10: Completed"</formula1>
    </dataValidation>
    <dataValidation type="list" allowBlank="1" showInputMessage="1" showErrorMessage="1" sqref="H8">
      <formula1>"0: Not done,10: Completed"</formula1>
    </dataValidation>
    <dataValidation type="list" allowBlank="1" showInputMessage="1" showErrorMessage="1" sqref="H9">
      <formula1>"0: Not done,10: Completed"</formula1>
    </dataValidation>
    <dataValidation type="list" allowBlank="1" showInputMessage="1" showErrorMessage="1" sqref="H10">
      <formula1>"0: No items completed,5: 1 item completed,10: 2 items completed"</formula1>
    </dataValidation>
    <dataValidation type="list" allowBlank="1" showInputMessage="1" showErrorMessage="1" sqref="H11">
      <formula1>"0: Not done,10: Completed"</formula1>
    </dataValidation>
    <dataValidation type="list" allowBlank="1" showInputMessage="1" showErrorMessage="1" sqref="H12">
      <formula1>"0: Not done,10: Defined"</formula1>
    </dataValidation>
    <dataValidation type="list" allowBlank="1" showInputMessage="1" showErrorMessage="1" sqref="H13">
      <formula1>"0: Not done,10: Completed"</formula1>
    </dataValidation>
    <dataValidation type="list" allowBlank="1" showInputMessage="1" showErrorMessage="1" sqref="H14">
      <formula1>"0: Not done,10: Completed"</formula1>
    </dataValidation>
    <dataValidation type="list" allowBlank="1" showInputMessage="1" showErrorMessage="1" sqref="H15">
      <formula1>"0: Not done,10: Completed"</formula1>
    </dataValidation>
    <dataValidation type="list" allowBlank="1" showInputMessage="1" showErrorMessage="1" sqref="H16">
      <formula1>"0: Not done,10: Completed"</formula1>
    </dataValidation>
    <dataValidation type="list" allowBlank="1" showInputMessage="1" showErrorMessage="1" sqref="H17">
      <formula1>"0: Not done,10: Completed"</formula1>
    </dataValidation>
    <dataValidation type="list" allowBlank="1" showInputMessage="1" showErrorMessage="1" sqref="H18">
      <formula1>"0: Low Maturity (0-9),4: Developing (10-18),7: Established (19-26),10: Optimizing (27-31)"</formula1>
    </dataValidation>
    <dataValidation type="list" allowBlank="1" showInputMessage="1" showErrorMessage="1" sqref="H19">
      <formula1>"0: Low Maturity. Score Range (0-8),4: Developing. Score Range (9-17),7: Established. Score Range (18-24),10: Optimizing. Score Range (25-29)"</formula1>
    </dataValidation>
    <dataValidation type="list" allowBlank="1" showInputMessage="1" showErrorMessage="1" sqref="H20">
      <formula1>"0: Low Maturity. Score Range (0-15),4: Developing. Score Range (16-31),7: Established. Score Range (32-44),10: Optimizing. Score Range (45-52)"</formula1>
    </dataValidation>
    <dataValidation type="list" allowBlank="1" showInputMessage="1" showErrorMessage="1" sqref="H21">
      <formula1>"0: No items completed,2: 1 item completed,4: 2 items completed,6: 3 items completed,8: 4 items completed,10: 5 items completed"</formula1>
    </dataValidation>
    <dataValidation type="list" allowBlank="1" showInputMessage="1" showErrorMessage="1" sqref="H22">
      <formula1>"0: Not done,10: Completed"</formula1>
    </dataValidation>
    <dataValidation type="list" allowBlank="1" showInputMessage="1" showErrorMessage="1" sqref="H23">
      <formula1>"0: No items completed,2: item 1 completed,4: items 1-2 completed,6: items 1-3 completed,8: items 1-4 completed,10: items 1-5 completed"</formula1>
    </dataValidation>
    <dataValidation type="list" allowBlank="1" showInputMessage="1" showErrorMessage="1" sqref="H24">
      <formula1>"0: No items completed,2: 1 item completed,4: 2 items completed,6: 3 items completed,8: 4 items completed,10: 5 items completed"</formula1>
    </dataValidation>
    <dataValidation type="list" allowBlank="1" showInputMessage="1" showErrorMessage="1" sqref="H25">
      <formula1>"0: No items completed,4: 1 item completed,7: 2 items completed,10: 3 items completed"</formula1>
    </dataValidation>
    <dataValidation type="list" allowBlank="1" showInputMessage="1" showErrorMessage="1" sqref="H26">
      <formula1>"0: No items completed,4: 1 item completed,7: 2 items completed,10: 3 items completed"</formula1>
    </dataValidation>
    <dataValidation type="list" allowBlank="1" showInputMessage="1" showErrorMessage="1" sqref="H27">
      <formula1>"0: No items completed,3: item 1 completed,5: items 1-2 completed,8: items 1-3 completed,10: items 1-4 completed"</formula1>
    </dataValidation>
    <dataValidation type="list" allowBlank="1" showInputMessage="1" showErrorMessage="1" sqref="H28">
      <formula1>"0: No items completed,4: 1 item completed,7: 2 items completed,10: 3 items completed"</formula1>
    </dataValidation>
    <dataValidation type="list" allowBlank="1" showInputMessage="1" showErrorMessage="1" sqref="H29">
      <formula1>"0: Not done,10: Completed"</formula1>
    </dataValidation>
    <dataValidation type="list" allowBlank="1" showInputMessage="1" showErrorMessage="1" sqref="H30">
      <formula1>"0: Not done,10: Completed"</formula1>
    </dataValidation>
    <dataValidation type="list" allowBlank="1" showInputMessage="1" showErrorMessage="1" sqref="H31">
      <formula1>"0: Not done,10: Done and clearly defined"</formula1>
    </dataValidation>
    <dataValidation type="list" allowBlank="1" showInputMessage="1" showErrorMessage="1" sqref="H32">
      <formula1>"0: Not done,10: Completed"</formula1>
    </dataValidation>
    <dataValidation type="list" allowBlank="1" showInputMessage="1" showErrorMessage="1" sqref="H33">
      <formula1>"0: Not done,10: Completed"</formula1>
    </dataValidation>
    <dataValidation type="list" allowBlank="1" showInputMessage="1" showErrorMessage="1" sqref="H34">
      <formula1>"0: Not done,10: Defined"</formula1>
    </dataValidation>
    <dataValidation type="list" allowBlank="1" showInputMessage="1" showErrorMessage="1" sqref="H35">
      <formula1>"0: No executive sponsor identified,10: Executive sponsor formally identified and actively engaged"</formula1>
    </dataValidation>
    <dataValidation type="list" allowBlank="1" showInputMessage="1" showErrorMessage="1" sqref="H36">
      <formula1>"0: No items completed,4: 1 item completed,7: 2 items completed,10: 3 items completed"</formula1>
    </dataValidation>
    <dataValidation type="list" allowBlank="1" showInputMessage="1" showErrorMessage="1" sqref="H37">
      <formula1>"0: No items completed,4: 1 item completed,7: 2 items completed,10: 3 items completed"</formula1>
    </dataValidation>
    <dataValidation type="list" allowBlank="1" showInputMessage="1" showErrorMessage="1" sqref="H38">
      <formula1>"0: No items completed,4: 1 item completed,7: 2 items completed,10: 3 items completed"</formula1>
    </dataValidation>
    <dataValidation type="list" allowBlank="1" showInputMessage="1" showErrorMessage="1" sqref="H39">
      <formula1>"0: Does not exist,10: Exists"</formula1>
    </dataValidation>
    <dataValidation type="list" allowBlank="1" showInputMessage="1" showErrorMessage="1" sqref="H40">
      <formula1>"0: No items completed,2: 1 item completed,4: 2 items completed,6: 3 items completed,8: 4 items completed,10: 5 items completed"</formula1>
    </dataValidation>
    <dataValidation type="list" allowBlank="1" showInputMessage="1" showErrorMessage="1" sqref="H41">
      <formula1>"0: No documented method,10: Documented method of assessing modernization efforts"</formula1>
    </dataValidation>
    <dataValidation type="list" allowBlank="1" showInputMessage="1" showErrorMessage="1" sqref="H42">
      <formula1>"0: No items completed,2: 1 item completed,4: 2 items completed,6: 3 items completed,8: 4 items completed,10: 5 items completed"</formula1>
    </dataValidation>
    <dataValidation type="list" allowBlank="1" showInputMessage="1" showErrorMessage="1" sqref="H43">
      <formula1>"0: No items completed,3: 1 item completed,5: 2 items completed,8: 3 items completed,10: 4 items completed"</formula1>
    </dataValidation>
    <dataValidation type="list" allowBlank="1" showInputMessage="1" showErrorMessage="1" sqref="H44">
      <formula1>"0: Not done,10: Completed"</formula1>
    </dataValidation>
    <dataValidation type="list" allowBlank="1" showInputMessage="1" showErrorMessage="1" sqref="H45">
      <formula1>"0: Not done,10: Completed"</formula1>
    </dataValidation>
    <dataValidation type="list" allowBlank="1" showInputMessage="1" showErrorMessage="1" sqref="H46">
      <formula1>"0: Not done,10: Completed"</formula1>
    </dataValidation>
    <dataValidation type="list" allowBlank="1" showInputMessage="1" showErrorMessage="1" sqref="H47">
      <formula1>"0: No items completed,4: 1 item completed,7: 2 items completed,10: 3 items completed"</formula1>
    </dataValidation>
    <dataValidation type="list" allowBlank="1" showInputMessage="1" showErrorMessage="1" sqref="H48">
      <formula1>"0: Not done,10: Completed"</formula1>
    </dataValidation>
    <dataValidation type="list" allowBlank="1" showInputMessage="1" showErrorMessage="1" sqref="H49">
      <formula1>"0: Not done,10: Completed"</formula1>
    </dataValidation>
    <dataValidation type="list" allowBlank="1" showInputMessage="1" showErrorMessage="1" sqref="H50">
      <formula1>"0: Not done,10: Completed"</formula1>
    </dataValidation>
    <dataValidation type="list" allowBlank="1" showInputMessage="1" showErrorMessage="1" sqref="H51">
      <formula1>"0: 0%,1: 10%,2: 20%,3: 30%,4: 40%,5: 50%,6: 60%,7: 70%,8: 80%,9: 90%,10: Near 100%"</formula1>
    </dataValidation>
    <dataValidation type="list" allowBlank="1" showInputMessage="1" showErrorMessage="1" sqref="H52">
      <formula1>"0: Not done,10: Completed"</formula1>
    </dataValidation>
    <dataValidation type="list" allowBlank="1" showInputMessage="1" showErrorMessage="1" sqref="H53">
      <formula1>"0: Not done,10: Completed"</formula1>
    </dataValidation>
    <dataValidation type="list" allowBlank="1" showInputMessage="1" showErrorMessage="1" sqref="H54">
      <formula1>"0: Not done,10: Policy in place and published"</formula1>
    </dataValidation>
    <dataValidation type="list" allowBlank="1" showInputMessage="1" showErrorMessage="1" sqref="H55">
      <formula1>"0: Not done,10: Completed"</formula1>
    </dataValidation>
    <dataValidation type="list" allowBlank="1" showInputMessage="1" showErrorMessage="1" sqref="H56">
      <formula1>"0: Not done,10: Completed"</formula1>
    </dataValidation>
    <dataValidation type="list" allowBlank="1" showInputMessage="1" showErrorMessage="1" sqref="H57">
      <formula1>"0: Not done,10: Policy in place and published"</formula1>
    </dataValidation>
    <dataValidation type="list" allowBlank="1" showInputMessage="1" showErrorMessage="1" sqref="H58">
      <formula1>"0: Not done,10: Policy in place and published"</formula1>
    </dataValidation>
    <dataValidation type="list" allowBlank="1" showInputMessage="1" showErrorMessage="1" sqref="H59">
      <formula1>"0: Not done,10: Completed"</formula1>
    </dataValidation>
    <dataValidation type="list" allowBlank="1" showInputMessage="1" showErrorMessage="1" sqref="H60">
      <formula1>"0: Not done,10: Completed"</formula1>
    </dataValidation>
    <dataValidation type="list" allowBlank="1" showInputMessage="1" showErrorMessage="1" sqref="H61">
      <formula1>"0: Not done,10: Completed"</formula1>
    </dataValidation>
    <dataValidation type="list" allowBlank="1" showInputMessage="1" showErrorMessage="1" sqref="H62">
      <formula1>"0: No items completed,2: 1 item completed,4: 2 items completed,6: 3 items completed,8: 4 items completed,10: 5 items completed"</formula1>
    </dataValidation>
    <dataValidation type="list" allowBlank="1" showInputMessage="1" showErrorMessage="1" sqref="H63">
      <formula1>"0: Not done,10: Completed"</formula1>
    </dataValidation>
    <dataValidation type="list" allowBlank="1" showInputMessage="1" showErrorMessage="1" sqref="H64">
      <formula1>"0: No teardown/shutdown policy,3: Published policy,6: Classification tagged or otherwise identifiable,10: Enforced Policy with tagged/identifiable classifications"</formula1>
    </dataValidation>
    <dataValidation type="list" allowBlank="1" showInputMessage="1" showErrorMessage="1" sqref="H65">
      <formula1>"0: 0%,1: 10%,2: 20%,3: 30%,4: 40%,5: 50%,6: 60%,7: 70%,8: 80%,9: 90%,10: Near 100%"</formula1>
    </dataValidation>
    <dataValidation type="list" allowBlank="1" showInputMessage="1" showErrorMessage="1" sqref="H66">
      <formula1>"0: Not done,10: Completed"</formula1>
    </dataValidation>
    <dataValidation type="list" allowBlank="1" showInputMessage="1" showErrorMessage="1" sqref="H67">
      <formula1>"0: Not done,10: Completed"</formula1>
    </dataValidation>
    <dataValidation type="list" allowBlank="1" showInputMessage="1" showErrorMessage="1" sqref="H68">
      <formula1>"0: Not done,10: Completed"</formula1>
    </dataValidation>
    <dataValidation type="list" allowBlank="1" showInputMessage="1" showErrorMessage="1" sqref="H69">
      <formula1>"0: No items completed,5: 1 item completed,10: 2 items completed"</formula1>
    </dataValidation>
    <dataValidation type="list" allowBlank="1" showInputMessage="1" showErrorMessage="1" sqref="H70">
      <formula1>"0: 0%,1: 10%,2: 20%,3: 30%,4: 40%,5: 50%,6: 60%,7: 70%,8: 80% ,9: 90%,10: Near 100%"</formula1>
    </dataValidation>
    <dataValidation type="list" allowBlank="1" showInputMessage="1" showErrorMessage="1" sqref="H71">
      <formula1>"0: No items completed,5: 1 item  completed,10: 2 items completed"</formula1>
    </dataValidation>
    <dataValidation type="list" allowBlank="1" showInputMessage="1" showErrorMessage="1" sqref="H72">
      <formula1>"0: 0%,1: 10%,2: 20%,3: 30%,4: 40%,5: 50%,6: 60%,7: 70%,8: 80%,9: 90%,10: Near 100%"</formula1>
    </dataValidation>
    <dataValidation type="list" allowBlank="1" showInputMessage="1" showErrorMessage="1" sqref="H73">
      <formula1>"0: 0%,1: 10%,2: 20%,3: 30%,4: 40%,5: 50%,6: 60%,7: 70%,8: 80%,9: 90%,10: Near 100%"</formula1>
    </dataValidation>
    <dataValidation type="list" allowBlank="1" showInputMessage="1" showErrorMessage="1" sqref="H74">
      <formula1>"0: No items completed,3: 1 item completed,5: 2 items completed,8: 3 items completed,10: 4 items completed"</formula1>
    </dataValidation>
    <dataValidation type="list" allowBlank="1" showInputMessage="1" showErrorMessage="1" sqref="H75">
      <formula1>"0: Not done,10: Completed"</formula1>
    </dataValidation>
    <dataValidation type="list" allowBlank="1" showInputMessage="1" showErrorMessage="1" sqref="H76">
      <formula1>"0: No items completed,2: 1 item completed,4: 2 items completed,6: 3 items completed,8: 4 items completed,10: 5 items completed"</formula1>
    </dataValidation>
    <dataValidation type="list" allowBlank="1" showInputMessage="1" showErrorMessage="1" sqref="H77">
      <formula1>"0: No items completed,2: 1 item completed,4: 2 items completed,5: 3 items completed,7: 4 items completed,9: 5 items completed,10: 6 items completed"</formula1>
    </dataValidation>
    <dataValidation type="list" allowBlank="1" showInputMessage="1" showErrorMessage="1" sqref="H78">
      <formula1>"0: No alerting to any owners,1: Alerting in at least one owner,3: Alerting to some owners [&gt;20%],6: Alerting to most owners [&gt;60%],10: Alerting to all owners [100%]"</formula1>
    </dataValidation>
    <dataValidation type="list" allowBlank="1" showInputMessage="1" showErrorMessage="1" sqref="H79">
      <formula1>"0: No items completed,2: 1 item completed,4: 2 items completed,5: 3 items completed,7: 4 items completed,9: 5 items completed,10: 6 items completed"</formula1>
    </dataValidation>
    <dataValidation type="list" allowBlank="1" showInputMessage="1" showErrorMessage="1" sqref="H80">
      <formula1>"0: No items completed,2: item 1 completed,4: items 1-2 completed,6: items 1-3 completed,8: items 1-4 completed,10: items 1-5 completed"</formula1>
    </dataValidation>
    <dataValidation type="list" allowBlank="1" showInputMessage="1" showErrorMessage="1" sqref="H81">
      <formula1>"0: No items completed,2: 1 item completed,3: 2 items completed,4: 3 items completed,5: 4 items completed,7: 5 items completed,8: 6 items completed,9: 7 items completed,10: 8 items completed"</formula1>
    </dataValidation>
    <dataValidation type="list" allowBlank="1" showInputMessage="1" showErrorMessage="1" sqref="H82">
      <formula1>"0: Low Maturity. Score Range (0-14),4: Developing. Score Range (15-30),7: Established. Score Range (31-42),10: Optimizing. Score Range (43-50)"</formula1>
    </dataValidation>
    <dataValidation type="list" allowBlank="1" showInputMessage="1" showErrorMessage="1" sqref="H83">
      <formula1>"0: Not done,10: Completed"</formula1>
    </dataValidation>
    <dataValidation type="list" allowBlank="1" showInputMessage="1" showErrorMessage="1" sqref="H84">
      <formula1>"0: Not done,10: Completed"</formula1>
    </dataValidation>
    <dataValidation type="list" allowBlank="1" showInputMessage="1" showErrorMessage="1" sqref="H85">
      <formula1>"0: Not done,10: Completed"</formula1>
    </dataValidation>
    <dataValidation type="list" allowBlank="1" showInputMessage="1" showErrorMessage="1" sqref="H86">
      <formula1>"0: Never,1: Monthly or greater,2: More than a week,3: 7 days,4: 5 days,6: 2 days,8: 1 day,10: Instant"</formula1>
    </dataValidation>
    <dataValidation type="list" allowBlank="1" showInputMessage="1" showErrorMessage="1" sqref="H87">
      <formula1>"0: Not done,10: Completed"</formula1>
    </dataValidation>
    <dataValidation type="list" allowBlank="1" showInputMessage="1" showErrorMessage="1" sqref="H88">
      <formula1>"0: No items completed,2: 1 items completed,3: 2 items completed,5: 3 items completed,6: 4 items completed,8: 5 items completed,9: 6 items completed,10: 7 items completed"</formula1>
    </dataValidation>
    <dataValidation type="list" allowBlank="1" showInputMessage="1" showErrorMessage="1" sqref="H89">
      <formula1>"0: No items completed,2: 1 items completed,3: 2 items completed,5: 3 items completed,6: 4 items completed,8: 5 items completed,9: 6 items completed,10: 7 items completed"</formula1>
    </dataValidation>
    <dataValidation type="list" allowBlank="1" showInputMessage="1" showErrorMessage="1" sqref="H90">
      <formula1>"0: Not done,10: Completed"</formula1>
    </dataValidation>
    <dataValidation type="list" allowBlank="1" showInputMessage="1" showErrorMessage="1" sqref="H91">
      <formula1>"0: Never,1: Monthly or greater,2: More than a week,3: 7 days,4: 5 days,6: 2 days,8: 1 day,10: Instant"</formula1>
    </dataValidation>
    <dataValidation type="list" allowBlank="1" showInputMessage="1" showErrorMessage="1" sqref="H92">
      <formula1>"0: Not done,10: Completed"</formula1>
    </dataValidation>
    <dataValidation type="list" allowBlank="1" showInputMessage="1" showErrorMessage="1" sqref="H93">
      <formula1>"0: No items completed,3: 1 item completed,5: 2 items completed,8: 3 items completed,10: 4 items completed"</formula1>
    </dataValidation>
    <dataValidation type="list" allowBlank="1" showInputMessage="1" showErrorMessage="1" sqref="H94">
      <formula1>"0: No items completed,3: 1 item completed,5: 2 items completed,8: 3 items completed,10: 4 items completed"</formula1>
    </dataValidation>
    <dataValidation type="list" allowBlank="1" showInputMessage="1" showErrorMessage="1" sqref="H95">
      <formula1>"0: Not done,10: Completed"</formula1>
    </dataValidation>
    <dataValidation type="list" allowBlank="1" showInputMessage="1" showErrorMessage="1" sqref="H96">
      <formula1>"0: No alerting in workflow tools,1: Alerting in at least one tool,3: Alerting in some tooling [&gt;20%],6: Alerting in most tooling [&gt;60%],10: Alerting in all workflow tools [100%]"</formula1>
    </dataValidation>
    <dataValidation type="list" allowBlank="1" showInputMessage="1" showErrorMessage="1" sqref="H97">
      <formula1>"0: Not done,10: Completed"</formula1>
    </dataValidation>
    <dataValidation type="list" allowBlank="1" showInputMessage="1" showErrorMessage="1" sqref="H98">
      <formula1>"0: Not done,10: Completed"</formula1>
    </dataValidation>
    <dataValidation type="list" allowBlank="1" showInputMessage="1" showErrorMessage="1" sqref="H99">
      <formula1>"0: Not done,10: Completed"</formula1>
    </dataValidation>
    <dataValidation type="list" allowBlank="1" showInputMessage="1" showErrorMessage="1" sqref="H100">
      <formula1>"0: Not done,10: Completed"</formula1>
    </dataValidation>
    <dataValidation type="list" allowBlank="1" showInputMessage="1" showErrorMessage="1" sqref="H101">
      <formula1>"0: Not done,10: Completed"</formula1>
    </dataValidation>
    <dataValidation type="list" allowBlank="1" showInputMessage="1" showErrorMessage="1" sqref="H102">
      <formula1>"0: Not done,10: Completed"</formula1>
    </dataValidation>
    <dataValidation type="list" allowBlank="1" showInputMessage="1" showErrorMessage="1" sqref="H103">
      <formula1>"0: No review of trends,3: Manual review of trends,6: Automated trend detection,10: Manual review and automated trend detection"</formula1>
    </dataValidation>
    <dataValidation type="list" allowBlank="1" showInputMessage="1" showErrorMessage="1" sqref="H104">
      <formula1>"0: Not done,10: Completed"</formula1>
    </dataValidation>
    <dataValidation type="list" allowBlank="1" showInputMessage="1" showErrorMessage="1" sqref="H105">
      <formula1>"0: Does not exist,10: Exists"</formula1>
    </dataValidation>
    <dataValidation type="list" allowBlank="1" showInputMessage="1" showErrorMessage="1" sqref="H106">
      <formula1>"0: Does not exist,10: Exists"</formula1>
    </dataValidation>
    <dataValidation type="list" allowBlank="1" showInputMessage="1" showErrorMessage="1" sqref="H107">
      <formula1>"0: Not done,10: Completed"</formula1>
    </dataValidation>
    <dataValidation type="list" allowBlank="1" showInputMessage="1" showErrorMessage="1" sqref="H108">
      <formula1>"0: Not done,10: Completed"</formula1>
    </dataValidation>
    <dataValidation type="list" allowBlank="1" showInputMessage="1" showErrorMessage="1" sqref="H109">
      <formula1>"0: Not done,10: Completed"</formula1>
    </dataValidation>
    <dataValidation type="list" allowBlank="1" showInputMessage="1" showErrorMessage="1" sqref="H110">
      <formula1>"0: Not done,10: Completed"</formula1>
    </dataValidation>
    <dataValidation type="list" allowBlank="1" showInputMessage="1" showErrorMessage="1" sqref="H111">
      <formula1>"0: Not done,10: Completed"</formula1>
    </dataValidation>
    <dataValidation type="list" allowBlank="1" showInputMessage="1" showErrorMessage="1" sqref="H112">
      <formula1>"0: No items completed,3: 1 item completed,5: 2 items completed,8: 3 items completed,10: 4 items completed"</formula1>
    </dataValidation>
    <dataValidation type="list" allowBlank="1" showInputMessage="1" showErrorMessage="1" sqref="H113">
      <formula1>"0: None,1: Annual,2: Quarterly,5: Monthly,7: Bi-Weekly,8: Weekly,10: Daily"</formula1>
    </dataValidation>
    <dataValidation type="list" allowBlank="1" showInputMessage="1" showErrorMessage="1" sqref="H114">
      <formula1>"0: 0%,1: 10%,2: 20%,3: 30%,4: 40%,5: 50%,6: 60%,7: 70%,8: 80%,9: 90%,10: Near 100%"</formula1>
    </dataValidation>
    <dataValidation type="list" allowBlank="1" showInputMessage="1" showErrorMessage="1" sqref="H115">
      <formula1>"0: No alerting,10: Alerting exists"</formula1>
    </dataValidation>
    <dataValidation type="list" allowBlank="1" showInputMessage="1" showErrorMessage="1" sqref="H116">
      <formula1>"0: No items completed,3: 1 item completed,5: 2 items completed,8: 3 items completed,10: 4 items completed"</formula1>
    </dataValidation>
    <dataValidation type="list" allowBlank="1" showInputMessage="1" showErrorMessage="1" sqref="H117">
      <formula1>"0: No items completed,2: 1 item completed,4: 2 items completed,6: 3 items completed,8: 4 items completed,10: 5 items completed"</formula1>
    </dataValidation>
    <dataValidation type="list" allowBlank="1" showInputMessage="1" showErrorMessage="1" sqref="H118">
      <formula1>"0: No items completed,2: 1 item completed,4: 2 items completed,6: 3 items completed,8: 4 items completed,10: 5 items completed"</formula1>
    </dataValidation>
    <dataValidation type="list" allowBlank="1" showInputMessage="1" showErrorMessage="1" sqref="H119">
      <formula1>"0: No items completed,2: 1 item completed,4: 2 items completed,6: 3 items completed,8: 4 items completed,10: 5 items completed"</formula1>
    </dataValidation>
    <dataValidation type="list" allowBlank="1" showInputMessage="1" showErrorMessage="1" sqref="H120">
      <formula1>"0: No items completed,5: item 1 completed,10: item 2 completed"</formula1>
    </dataValidation>
    <dataValidation type="list" allowBlank="1" showInputMessage="1" showErrorMessage="1" sqref="H121">
      <formula1>"0: No items completed,4: 1 item completed,7: 2 items completed,10: 3 items completed"</formula1>
    </dataValidation>
    <dataValidation type="list" allowBlank="1" showInputMessage="1" showErrorMessage="1" sqref="H122">
      <formula1>"0: 0%,1: 10%,2: 20%,3: 30%,4: 40%,5: 50%,6: 60%,7: 70%,8: 80%,9: 90%,10: Near 100%"</formula1>
    </dataValidation>
    <dataValidation type="list" allowBlank="1" showInputMessage="1" showErrorMessage="1" sqref="H123">
      <formula1>"0: No items completed,3: 1 item completed,5: 2 items completed,8: 3 items completed,10: 4 items completed"</formula1>
    </dataValidation>
    <dataValidation type="list" allowBlank="1" showInputMessage="1" showErrorMessage="1" sqref="H124">
      <formula1>"0: No items completed,3: 1 item completed,5: 2 items completed,8: 3 items completed,10: 4 items completed"</formula1>
    </dataValidation>
    <dataValidation type="list" allowBlank="1" showInputMessage="1" showErrorMessage="1" sqref="H125">
      <formula1>"0: No items completed,2: 1 item completed,4: 2 items completed,5: 3 items completed,7: 4 items completed,9: 5 items completed,10: 6 items completed"</formula1>
    </dataValidation>
    <dataValidation type="list" allowBlank="1" showInputMessage="1" showErrorMessage="1" sqref="H126">
      <formula1>"0: No items completed,2: 1 item completed,4: 2 items completed,5: 3 items completed,7: 4 items completed,9: 5 items completed,10: 6 items completed"</formula1>
    </dataValidation>
    <dataValidation type="list" allowBlank="1" showInputMessage="1" showErrorMessage="1" sqref="H127">
      <formula1>"0: No items completed,3: 1 item completed,5: 2 items completed,8: 3 items completed,10: 4 items completed"</formula1>
    </dataValidation>
    <dataValidation type="list" allowBlank="1" showInputMessage="1" showErrorMessage="1" sqref="H128">
      <formula1>"0: No items completed,3: 1 item completed,5: 2 items completed,8: 3 items completed,10: 4 items completed"</formula1>
    </dataValidation>
    <dataValidation type="list" allowBlank="1" showInputMessage="1" showErrorMessage="1" sqref="H129">
      <formula1>"0: None,10: communicates wins in KPI thresholds and unit costs"</formula1>
    </dataValidation>
    <dataValidation type="list" allowBlank="1" showInputMessage="1" showErrorMessage="1" sqref="H130">
      <formula1>"0: Not done,10: Completed"</formula1>
    </dataValidation>
    <dataValidation type="list" allowBlank="1" showInputMessage="1" showErrorMessage="1" sqref="H131">
      <formula1>"0: Not done,10: Completed"</formula1>
    </dataValidation>
    <dataValidation type="list" allowBlank="1" showInputMessage="1" showErrorMessage="1" sqref="H132">
      <formula1>"0: Not done,10: Completed"</formula1>
    </dataValidation>
    <dataValidation type="list" allowBlank="1" showInputMessage="1" showErrorMessage="1" sqref="H133">
      <formula1>"0: Not monitored,2: Reported,5: Manual remediation,10: Automated remediation"</formula1>
    </dataValidation>
    <dataValidation type="list" allowBlank="1" showInputMessage="1" showErrorMessage="1" sqref="H134">
      <formula1>"0: Not done,10: Completed"</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s>
  <pageMargins left="0.7" right="0.7" top="0.75" bottom="0.75" header="0.3" footer="0.3"/>
  <ignoredErrors>
    <ignoredError sqref="D:D"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2</vt:i4>
      </vt:variant>
    </vt:vector>
  </HeadingPairs>
  <TitlesOfParts>
    <vt:vector size="4" baseType="lpstr">
      <vt:lpstr>Overview</vt:lpstr>
      <vt:lpstr>Scoring</vt:lpstr>
      <vt:lpstr>Maturity - Domains</vt:lpstr>
      <vt:lpstr>Maturity - Capabilities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2026-10-11T23:12:07Z</dcterms:created>
  <dcterms:modified xsi:type="dcterms:W3CDTF">2026-10-11T23:12:07Z</dcterms:modified>
</cp:coreProperties>
</file>