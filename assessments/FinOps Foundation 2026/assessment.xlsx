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Maturity - Domains" sheetId="2" r:id="rId2"/>
    <sheet name="Maturity - Capabilities" sheetId="3" r:id="rId3"/>
    <sheet name="Scoring" sheetId="4" r:id="rId4"/>
  </sheets>
  <calcPr calcId="124519" fullCalcOnLoad="1"/>
</workbook>
</file>

<file path=xl/sharedStrings.xml><?xml version="1.0" encoding="utf-8"?>
<sst xmlns="http://schemas.openxmlformats.org/spreadsheetml/2006/main" count="1079" uniqueCount="403">
  <si>
    <t>Sum of Weights</t>
  </si>
  <si>
    <t>Maximum Possible Score</t>
  </si>
  <si>
    <t>Calculated Weighted Average Score</t>
  </si>
  <si>
    <t>Difference from Maximum Score</t>
  </si>
  <si>
    <t>Domain</t>
  </si>
  <si>
    <t>Action Count</t>
  </si>
  <si>
    <t>Manage the FinOps Practice</t>
  </si>
  <si>
    <t>Optimize Usage &amp; Cost</t>
  </si>
  <si>
    <t>Quantify Business Value</t>
  </si>
  <si>
    <t>Understand Usage &amp; Cost</t>
  </si>
  <si>
    <t>Capability</t>
  </si>
  <si>
    <t>Allocation</t>
  </si>
  <si>
    <t>Anomaly Management</t>
  </si>
  <si>
    <t>Architecting &amp; Workload Placement</t>
  </si>
  <si>
    <t>Automation, Tools &amp; Services</t>
  </si>
  <si>
    <t>Budgeting</t>
  </si>
  <si>
    <t>Data Ingestion</t>
  </si>
  <si>
    <t>Executive Strategy Alignment</t>
  </si>
  <si>
    <t>FinOps Assessment</t>
  </si>
  <si>
    <t>FinOps Education &amp; Enablement</t>
  </si>
  <si>
    <t>FinOps Practice Operations</t>
  </si>
  <si>
    <t>Forecasting</t>
  </si>
  <si>
    <t>Governance, Policy &amp; Risk</t>
  </si>
  <si>
    <t>Intersecting Disciplines</t>
  </si>
  <si>
    <t>Invoicing &amp; Chargeback</t>
  </si>
  <si>
    <t>KPIs &amp; Benchmarking</t>
  </si>
  <si>
    <t>Licensing &amp; SaaS</t>
  </si>
  <si>
    <t>Planning &amp; Estimating</t>
  </si>
  <si>
    <t>Rate Optimization</t>
  </si>
  <si>
    <t>Reporting &amp; Analytics</t>
  </si>
  <si>
    <t>Sustainability</t>
  </si>
  <si>
    <t>Unit Economics</t>
  </si>
  <si>
    <t>Usage Optimization</t>
  </si>
  <si>
    <t>serial number</t>
  </si>
  <si>
    <t>weights</t>
  </si>
  <si>
    <t>formula</t>
  </si>
  <si>
    <t>scoring</t>
  </si>
  <si>
    <t>weighted score</t>
  </si>
  <si>
    <t>_domain</t>
  </si>
  <si>
    <t>_capability</t>
  </si>
  <si>
    <t>domain</t>
  </si>
  <si>
    <t>capability</t>
  </si>
  <si>
    <t>action</t>
  </si>
  <si>
    <t>Inventory All Data Sources</t>
  </si>
  <si>
    <t>Choose Data Landing Tooling</t>
  </si>
  <si>
    <t>Create Landing Zones &amp; Controls</t>
  </si>
  <si>
    <t>Define Data Granularity &amp; Frequency</t>
  </si>
  <si>
    <t>Document Normalization Rules</t>
  </si>
  <si>
    <t>Implement Data Quality Checks</t>
  </si>
  <si>
    <t>Build Ingestion Anomaly Dashboards</t>
  </si>
  <si>
    <t>Optimize Pipelines for Timeliness</t>
  </si>
  <si>
    <t>Define ingestion frequency; include mandatory metadata.</t>
  </si>
  <si>
    <t>Define Metadata &amp; Hierarchy Strategy</t>
  </si>
  <si>
    <t>Identify Shared Costs &amp; Rules</t>
  </si>
  <si>
    <t>Publish Allocation Taxonomy</t>
  </si>
  <si>
    <t>Implement Tagging Standards</t>
  </si>
  <si>
    <t>Validate Compliance &amp; Report Gaps</t>
  </si>
  <si>
    <t>Automate Tagging &amp; Enforcement</t>
  </si>
  <si>
    <t>Iterate Strategies &amp; Communicate</t>
  </si>
  <si>
    <t>Gather Requirements &amp; Define KPIs</t>
  </si>
  <si>
    <t>Enrich Billing with Business Logic</t>
  </si>
  <si>
    <t>Build Dashboards for All Views</t>
  </si>
  <si>
    <t>Publish Documentation &amp; Support</t>
  </si>
  <si>
    <t>Embed Reports in Workflows</t>
  </si>
  <si>
    <t>Track Adoption &amp; Manage Changes</t>
  </si>
  <si>
    <t>Iterate Based on Feedback</t>
  </si>
  <si>
    <t>Configure Cost Spike Detection</t>
  </si>
  <si>
    <t>Define Severity &amp; Response SLAs</t>
  </si>
  <si>
    <t>Automate Alert Routing</t>
  </si>
  <si>
    <t>Record Anomaly Context &amp; Timeline</t>
  </si>
  <si>
    <t>Analyze Root Causes &amp; Fix Issues</t>
  </si>
  <si>
    <t>Track Metrics &amp; Avoidance Rates</t>
  </si>
  <si>
    <t>Tune Thresholds to Reduce Noise</t>
  </si>
  <si>
    <t>Define Estimating Scope &amp; Policy</t>
  </si>
  <si>
    <t>Agree on Pricing Assumptions</t>
  </si>
  <si>
    <t>Select Estimation Methods</t>
  </si>
  <si>
    <t>Include Sustainability Impacts</t>
  </si>
  <si>
    <t>Establish Scenario Decision Process</t>
  </si>
  <si>
    <t>Report Estimate Accuracy</t>
  </si>
  <si>
    <t>Coach Engineering on Estimates</t>
  </si>
  <si>
    <t>Establish Forecasting Approach</t>
  </si>
  <si>
    <t>Collect Business Drivers Regularly</t>
  </si>
  <si>
    <t>Run &amp; Refresh Rolling Forecasts</t>
  </si>
  <si>
    <t>Compare Forecast to Actual</t>
  </si>
  <si>
    <t>Automate Variance Alerts</t>
  </si>
  <si>
    <t>Feed Learnings into Budgeting &amp; Commitments</t>
  </si>
  <si>
    <t>Define Budgeting Strategy</t>
  </si>
  <si>
    <t>Integrate Rolling Forecasts</t>
  </si>
  <si>
    <t>Increase Shared Cost Coverage</t>
  </si>
  <si>
    <t>Publish Budget vs Actual Reports</t>
  </si>
  <si>
    <t>Automate Budget Threshold Alerts</t>
  </si>
  <si>
    <t>Review &amp; Adapt Budget Strategy</t>
  </si>
  <si>
    <t>Select KPIs &amp; Measurement Scope</t>
  </si>
  <si>
    <t>Validate Tagging for Comparability</t>
  </si>
  <si>
    <t>Choose Internal vs External Benchmarks</t>
  </si>
  <si>
    <t>Stand Up Internal Benchmarking</t>
  </si>
  <si>
    <t>Track Trends &amp; Compare Over Time</t>
  </si>
  <si>
    <t>Translate Gaps to Initiatives</t>
  </si>
  <si>
    <t>Define Business-Relevant Units</t>
  </si>
  <si>
    <t>Document Inputs &amp; Formulas</t>
  </si>
  <si>
    <t>Build Unit Cost Dashboards</t>
  </si>
  <si>
    <t>Set Review Cadence &amp; Targets</t>
  </si>
  <si>
    <t>Use Metrics to Prioritize Investments</t>
  </si>
  <si>
    <t>Communicate Unit Cost Wins</t>
  </si>
  <si>
    <t>Establish Architecture Review Process</t>
  </si>
  <si>
    <t>Assess Workloads for Modernization</t>
  </si>
  <si>
    <t>Estimate Trade-Offs &amp; Document Cases</t>
  </si>
  <si>
    <t>Implement Iteratively &amp; Measure Results</t>
  </si>
  <si>
    <t>Publish Benefits &amp; Update References</t>
  </si>
  <si>
    <t>Strengthen Architecture Collaboration</t>
  </si>
  <si>
    <t>Create Workload Selection Criteria</t>
  </si>
  <si>
    <t>Define Success Criteria &amp; Scope</t>
  </si>
  <si>
    <t>Enforce Tagging at Onboarding</t>
  </si>
  <si>
    <t>Align Timelines with Budgets</t>
  </si>
  <si>
    <t>Start with Lower Environments</t>
  </si>
  <si>
    <t>Review Outcomes &amp; Adjust Patterns</t>
  </si>
  <si>
    <t>Define Optimization Strategy</t>
  </si>
  <si>
    <t>Inventory &amp; Classify Workloads</t>
  </si>
  <si>
    <t>Collect Metrics &amp; Identify Candidates</t>
  </si>
  <si>
    <t>Partner on Scheduling Actions</t>
  </si>
  <si>
    <t>Gamify Adoption &amp; Celebrate Wins</t>
  </si>
  <si>
    <t>Track KPIs &amp; Document Playbooks</t>
  </si>
  <si>
    <t>Document Commitment Strategy</t>
  </si>
  <si>
    <t>Build Commitment Analysis Process</t>
  </si>
  <si>
    <t>Purchase Commitments Regularly</t>
  </si>
  <si>
    <t>Track ROI &amp; Notify Owners</t>
  </si>
  <si>
    <t>Allocate Upfront Costs Transparently</t>
  </si>
  <si>
    <t>Leverage Spot &amp; Negotiated Discounts</t>
  </si>
  <si>
    <t>Inventory Licenses &amp; Map Resources</t>
  </si>
  <si>
    <t>Document Licensing Models</t>
  </si>
  <si>
    <t>Integrate Billing with Procurement</t>
  </si>
  <si>
    <t>Validate Utilization &amp; Remediate</t>
  </si>
  <si>
    <t>Influence Workload Design Choices</t>
  </si>
  <si>
    <t>Publish License Spend &amp; Utilization</t>
  </si>
  <si>
    <t>Aggregate emissions data by region/service/account with lineage.</t>
  </si>
  <si>
    <t>Define sustainability metrics/targets.</t>
  </si>
  <si>
    <t>Include carbon impact in migration/optimization decisions and PRDs.</t>
  </si>
  <si>
    <t>Enable engineering with carbon-aware data and scheduling guidance.</t>
  </si>
  <si>
    <t>Continuously improve data quality and report progress on dashboards.</t>
  </si>
  <si>
    <t>Tie sustainability wins to cost efficiency where possible.</t>
  </si>
  <si>
    <t>Establish Executive Sponsorship</t>
  </si>
  <si>
    <t>Define Decision Rights &amp; Guardrails</t>
  </si>
  <si>
    <t>Build Multi-Year Investment Forecast</t>
  </si>
  <si>
    <t>Establish Decision Support Cadence</t>
  </si>
  <si>
    <t>Define Org Model &amp; Budget</t>
  </si>
  <si>
    <t>Create Implementation Roadmap</t>
  </si>
  <si>
    <t>Integrate Cost Data in Workflows</t>
  </si>
  <si>
    <t>Publish FinOps KPIs</t>
  </si>
  <si>
    <t>Drive Stakeholder Engagement</t>
  </si>
  <si>
    <t>Automate Tasks &amp; Review Maturity</t>
  </si>
  <si>
    <t>Draft Cloud Financial Policies</t>
  </si>
  <si>
    <t>Publish Guidelines &amp; Guardrails</t>
  </si>
  <si>
    <t>Educate Stakeholders on Policy</t>
  </si>
  <si>
    <t>Monitor Compliance &amp; Report Breaches</t>
  </si>
  <si>
    <t>Iterate Policies Based on Feedback</t>
  </si>
  <si>
    <t>Assess Skills &amp; Training Needs</t>
  </si>
  <si>
    <t>Develop Role-Based Learning Content</t>
  </si>
  <si>
    <t>Offer Certifications &amp; Informal Learning</t>
  </si>
  <si>
    <t>Leverage Vendor Training Resources</t>
  </si>
  <si>
    <t>Track Training Impact &amp; Refresh Content</t>
  </si>
  <si>
    <t>Map Invoices to Allocation Model</t>
  </si>
  <si>
    <t>Reconcile Rates &amp; Track Completion</t>
  </si>
  <si>
    <t>Design Chargeback with Finance</t>
  </si>
  <si>
    <t>Automate Chargeback Data Flows</t>
  </si>
  <si>
    <t>Distribute Reports &amp; Track Accuracy</t>
  </si>
  <si>
    <t>Resolve Variances &amp; Increase Coverage</t>
  </si>
  <si>
    <t>Define Assessment Scope &amp; Goals</t>
  </si>
  <si>
    <t>Collect Standardized Assessment Inputs</t>
  </si>
  <si>
    <t>Establish Baselines &amp; Identify Trends</t>
  </si>
  <si>
    <t>Prioritize Actions &amp; Publish Roadmap</t>
  </si>
  <si>
    <t>Reassess Progress &amp; Update Priorities</t>
  </si>
  <si>
    <t>Assess Tooling Needs &amp; Criteria</t>
  </si>
  <si>
    <t>Evaluate Build vs Buy Options</t>
  </si>
  <si>
    <t>Implement &amp; Configure Tools</t>
  </si>
  <si>
    <t>Train Users &amp; Integrate Data</t>
  </si>
  <si>
    <t>Monitor Adoption &amp; Iterate Tools</t>
  </si>
  <si>
    <t>Establish Cross-Team Collab</t>
  </si>
  <si>
    <t>Align Goals &amp; Data Models</t>
  </si>
  <si>
    <t>Share Reporting &amp; Definitions</t>
  </si>
  <si>
    <t>Provide Cloud Metrics to Teams</t>
  </si>
  <si>
    <t>Coordinate Policy Changes Broadly</t>
  </si>
  <si>
    <t>Drive Adoption &amp; Resolve Conflicts</t>
  </si>
  <si>
    <t>001</t>
  </si>
  <si>
    <t>002</t>
  </si>
  <si>
    <t>003</t>
  </si>
  <si>
    <t>004</t>
  </si>
  <si>
    <t>005</t>
  </si>
  <si>
    <t>006</t>
  </si>
  <si>
    <t>007</t>
  </si>
  <si>
    <t>008</t>
  </si>
  <si>
    <t>135</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</si>
  <si>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</si>
  <si>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</si>
  <si>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</si>
  <si>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</si>
  <si>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</si>
  <si>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</si>
  <si>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</si>
  <si>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</si>
  <si>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</si>
  <si>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</si>
  <si>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</si>
  <si>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</si>
  <si>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</si>
  <si>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</si>
  <si>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</si>
  <si>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</si>
  <si>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</si>
  <si>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</si>
  <si>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</si>
  <si>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</si>
  <si>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</si>
  <si>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</si>
  <si>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</si>
  <si>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</si>
  <si>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</si>
  <si>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</si>
  <si>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</si>
  <si>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</si>
  <si>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</si>
  <si>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</si>
  <si>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</si>
  <si>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</si>
  <si>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</si>
  <si>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</si>
  <si>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</si>
  <si>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</si>
  <si>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</si>
  <si>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</si>
  <si>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</si>
  <si>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</si>
  <si>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</si>
  <si>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</si>
  <si>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</si>
  <si>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</si>
  <si>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</si>
  <si>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</si>
  <si>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</si>
  <si>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</si>
  <si>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</si>
  <si>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</si>
  <si>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</si>
  <si>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</si>
  <si>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</si>
  <si>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</si>
  <si>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</si>
  <si>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</si>
  <si>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</si>
  <si>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</si>
  <si>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118</t>
  </si>
  <si>
    <t>119</t>
  </si>
  <si>
    <t>120</t>
  </si>
  <si>
    <t>121</t>
  </si>
  <si>
    <t>122</t>
  </si>
  <si>
    <t>123</t>
  </si>
  <si>
    <t>067</t>
  </si>
  <si>
    <t>068</t>
  </si>
  <si>
    <t>069</t>
  </si>
  <si>
    <t>070</t>
  </si>
  <si>
    <t>071</t>
  </si>
  <si>
    <t>072</t>
  </si>
  <si>
    <t>079</t>
  </si>
  <si>
    <t>080</t>
  </si>
  <si>
    <t>081</t>
  </si>
  <si>
    <t>082</t>
  </si>
  <si>
    <t>083</t>
  </si>
  <si>
    <t>084</t>
  </si>
  <si>
    <t>073</t>
  </si>
  <si>
    <t>074</t>
  </si>
  <si>
    <t>075</t>
  </si>
  <si>
    <t>076</t>
  </si>
  <si>
    <t>077</t>
  </si>
  <si>
    <t>078</t>
  </si>
  <si>
    <t>085</t>
  </si>
  <si>
    <t>086</t>
  </si>
  <si>
    <t>087</t>
  </si>
  <si>
    <t>088</t>
  </si>
  <si>
    <t>089</t>
  </si>
  <si>
    <t>090</t>
  </si>
  <si>
    <t>136</t>
  </si>
  <si>
    <t>137</t>
  </si>
  <si>
    <t>138</t>
  </si>
  <si>
    <t>139</t>
  </si>
  <si>
    <t>091</t>
  </si>
  <si>
    <t>092</t>
  </si>
  <si>
    <t>093</t>
  </si>
  <si>
    <t>094</t>
  </si>
  <si>
    <t>095</t>
  </si>
  <si>
    <t>096</t>
  </si>
  <si>
    <t>102</t>
  </si>
  <si>
    <t>103</t>
  </si>
  <si>
    <t>104</t>
  </si>
  <si>
    <t>105</t>
  </si>
  <si>
    <t>106</t>
  </si>
  <si>
    <t>097</t>
  </si>
  <si>
    <t>098</t>
  </si>
  <si>
    <t>099</t>
  </si>
  <si>
    <t>100</t>
  </si>
  <si>
    <t>101</t>
  </si>
  <si>
    <t>107</t>
  </si>
  <si>
    <t>108</t>
  </si>
  <si>
    <t>109</t>
  </si>
  <si>
    <t>110</t>
  </si>
  <si>
    <t>111</t>
  </si>
  <si>
    <t>112</t>
  </si>
  <si>
    <t>113</t>
  </si>
  <si>
    <t>114</t>
  </si>
  <si>
    <t>115</t>
  </si>
  <si>
    <t>116</t>
  </si>
  <si>
    <t>117</t>
  </si>
  <si>
    <t>124</t>
  </si>
  <si>
    <t>125</t>
  </si>
  <si>
    <t>126</t>
  </si>
  <si>
    <t>127</t>
  </si>
  <si>
    <t>128</t>
  </si>
  <si>
    <t>129</t>
  </si>
  <si>
    <t>130</t>
  </si>
  <si>
    <t>131</t>
  </si>
  <si>
    <t>132</t>
  </si>
  <si>
    <t>133</t>
  </si>
  <si>
    <t>134</t>
  </si>
  <si>
    <t xml:space="preserve">* Define data quality (complete, valid, etc.)
* Manual quality checks
* Automated checks (null % on required fields/tags)
* Response process and triage defined
* SLAs defined and monitored
* Integrate with communication and alerting tools
* Integrate into CI/CD pipelines
10*Ceil(x/7)
</t>
  </si>
  <si>
    <t>Not in order, gain points for each task
* Manual or basic logs
* Define key metrics (failures, latency, etc.)
* Static Dashboard updated manually
* Automated alerts for failures
* Integrate with communication and alerting tools
* Define Process &amp; SLAs:RCAs completed for each
* Tune out false positives
10*Ceil(x/7)</t>
  </si>
  <si>
    <t>Increasing Granularity and Visibility
* Define metadata to track (org, dept, cost center, team, app, etc.)
* Create the hierarchy for each category of metadata (ex teams per dept, cost centers in an org)
10*Ceil(x/2)</t>
  </si>
  <si>
    <t>Unallocated Shared CSP Effective Cloud Cost/ Total CSP Effective Cloud Cost</t>
  </si>
  <si>
    <t>Increasing Granularity and Visibility
* Document as part of tagging strategy and enforcement
* Teams have visibility into where their resources fit into the hierarchy
10*Ceil(x/2)</t>
  </si>
  <si>
    <t>Percentage of total costs that are tagged for Each Required Tag</t>
  </si>
  <si>
    <t xml:space="preserve">x = Total Effective Costs Associated with Unallocated CSP Cloud Resources During
y = Total CSP Cloud Costs During a Period of Time
x / y
</t>
  </si>
  <si>
    <t>Effectiveness/Effort by strategy
* Manually asking teams to tag resources
* Remove untagged resources after time threshold
* Block deployments without proper tags
* Automatically tag based on CI/CD creator and team
10*Ceil(x/4)</t>
  </si>
  <si>
    <t>* Manual adjustments to invoices and teams
* Define Business Rules for sharing discounts, RI/SP, etc.
* Automate adjustment calculations monthly in arrears
* Automate mappings into reporting platform for realtime adjustments
10*Ceil(x/4)</t>
  </si>
  <si>
    <t>* Dashboard for showback
* Dashboard where teams can dive in to investigate costs
* Ad-hoc dashboards available to teams
* Dashboards for key metrics tracking (tagging, waste, etc.)
10*Ceil(x/4)</t>
  </si>
  <si>
    <t>* Manual inspection of spikes
* Out-of-the-box tool based anomaly alerts
* Custom simple increase alert calculations
* Custom alerts per business unit, team, etc.
* Alerts per unit costs above thresholds
10*Ceil(x/5)</t>
  </si>
  <si>
    <t xml:space="preserve">* Defined severity tiers
* Thresholds associated with severity tiers are defined
* Defined and adhered to response SLAs
* Published response runbooks
* Runbook percent successful or completed
* RCA completed after alerts
10*Ceil(x/6)
</t>
  </si>
  <si>
    <t>* Number of detections per time period
* Number of detections over threshold
* Time to send notifications to stakeholders
* Time to validate anomaly
* Resolution Time/SLA adherence
* False positive rate
* Cost Avoidance due to detection
* Percent anomalies addressed
10*Ceil(x/8)</t>
  </si>
  <si>
    <t>* Defined scope of each project to be estimated
* Developed list of known inputs to the project
* Have a process to determine what may be missing from the inputs or scope
* Have a policy review to determine additional needs for inputs or scope
* For each component of the estimate, list all assumptions
10*Ceil(x/5)</t>
  </si>
  <si>
    <t>* Inventory possible commitment based discounts (RIs, Savings Plans, CUDs, etc.) available for deployed resources
* Consider any private negotiated line item discounts vs public RI/CUD discounts
* Set resource type standards to make use of spend commitments while maintaining needs of the business
* Scenario plan commitment options versus potential changes in resources
* Reference commit allocation strategy to calculate cost impact of shared scope vs private account commitments
10*Ceil(x/5)</t>
  </si>
  <si>
    <t>* Use pricing lists or pricing calculators to estimate workload spend
* Run workloads as trial experiments to get baseline spend
* Estimate workload costs based on similar applications already deployed in your environment
* Determine fixed costs vs formulas for variable costs due to growth of workloads
* Factor in discounts and uptime metrics to determine accurate spend vs list
10*Ceil(x/5)</t>
  </si>
  <si>
    <t>1. Calculate kg of carbon dioxide equivalents (kgCO2e), or similar, for new and ongoing workloads
2. Compare carbon calculations with targets for new projects and overall consumption</t>
  </si>
  <si>
    <t>* Define and follow process for gathering deployment plans from teams
* Determine timeline for each new project to adjust the forecast during that time
* Determine how optimizations and lower run rate will impact the forecast on a rolling basis
10*Ceil(x/3)</t>
  </si>
  <si>
    <t>* Refer teams to Documented Estimating Scope &amp; Policy and include these methods in trainings
* Teams track baseline spend for resources they own, and share changes to baseline with leadership
* Teams will share updates about their change in usage of shared resources and dependencies
* Track team adoption of better estimates via KPIs around baseline or plan vs actuals
10*Ceil(x/4)</t>
  </si>
  <si>
    <t>* Data based on existing patterns
* Proactive investigations and interviews with teams
* Proactive self reporting by the business and/or teams
* 100% catch rate of spikes before they happen
10*Ceil(x/4)</t>
  </si>
  <si>
    <t>((Forecasted Public Cloud Spend – Actual Public Cloud Spend) / Forecasted Public Cloud Spend)</t>
  </si>
  <si>
    <t>* Periodic review of budget vs forecast
* Track when projects are forecasted to go over budget
* Process to request more budget for projects going over
* RCA to determine cause of budget over run
10*Ceil(x/4)</t>
  </si>
  <si>
    <t>* Define cost drivers from finance/business
* Gather metrics on a cadence
* Set goals/targets
* Set up forecasting and anomaly detection on units
10*Ceil(x/4)</t>
  </si>
  <si>
    <t>* Define process to address notifications from CSPs
* Define cadence for review
* Define exception criteria
* Define thresholds to change
* Combine with architecture analysis for SP &amp; RIs
10*Ceil(x/5)</t>
  </si>
  <si>
    <t>* Process defined for new accounts and resources deployed
* Train teams on process
* Automate process
10*Ceil(x/3)</t>
  </si>
  <si>
    <t>* Process for evaluating spot periodically
* Tag for date last reviewed
* New deployments get reviewed beforehand
* Define requirements for spot
* Have exception process and expiration date
10*Ceil(x/5)</t>
  </si>
  <si>
    <t>* Document decision rights and approval authority for technology spend
* Define and publish spend guardrails with named owners
* Establish escalation path for spend exceptions
10*Ceil(x/3)</t>
  </si>
  <si>
    <t>* Inventory vendor commitments across technology categories (cloud, SaaS, data center, AI)
* Create a multi-year forecast incorporating renewal timelines and growth projections
* Incorporate transition and modernization costs into the investment plan
10*Ceil(x/3)</t>
  </si>
  <si>
    <t>* Define a regular review cadence for technology investment decisions
* Deliver cost and outcome comparisons for competing initiatives at reviews
* Track and report action follow-through from investment decisions
10*Ceil(x/3)</t>
  </si>
  <si>
    <t>* Define process for reviewing asking for credits from CSPs
* Define frequency of review, etc.
10*Ceil(x/2)</t>
  </si>
  <si>
    <t>* Select which teams or groups are in scope for the planned assessments
* Select which capabilities/actions are in scope for each group's assessment
* Select weights for each included action based on goals of the assessment and importance to the business
* Set a preliminary target score for each included action to use for comparison
10*Ceil(x/4)</t>
  </si>
  <si>
    <t>* Use objective (not subjective) scoring metrics for assessment evaluation
* Document how metrics used in the assessment are calculated and state all assumptions
* Use the same calculation assumptions and formulas across scopes if possible
* List relevant documentation of process and policy as evidentiary support for each score
10*Ceil(x/4)</t>
  </si>
  <si>
    <t>* Complete an initial assessment for different scopes of the business to establish a baseline
* Plot scores over time to track maturity progress for priority scopes
* Complete analysis on what contributed to or hindered progress across scopes or different areas of the assessment
10*Ceil(x/3)</t>
  </si>
  <si>
    <t>1. Invite subject matter experts (SMEs) and leadership to determine which gaps to address first
2. Determine owners for addressing each of the prioritized gaps
3. Owners will work with relevant teams to scope out how to meet the target score for each gap
4. Work is then scheduled in a roadmap with deadlines that can be tracked at the leadership level</t>
  </si>
  <si>
    <t>* Schedule a cadence to report progress outcomes to key stakeholders.
* Create reporting to show progress on key outcomes across all maturity initiatives.
* After successful outcomes are achieved, move on to the next prioritized item in the roadmap.
* Periodically reevaluate the gap analysis and priority list based on lessons learned and new business goals.</t>
  </si>
  <si>
    <t>* Define communication pathways between FinOps and the business
* Conduct trainings or create videos
* Send out period newsletters
* CI/CD governance
* Proactive recommendations at deployment
10*Ceil(x/5)</t>
  </si>
  <si>
    <t>[{'Score': 0, 'Condition': None}]</t>
  </si>
  <si>
    <t>[{'Score': 0, 'Condition': 'Never'}, {'Score': 1, 'Condition': 'Monthly or greater'}, {'Score': 2, 'Condition': 'More than a week'}, {'Score': 3, 'Condition': '7 days'}, {'Score': 4, 'Condition': '5 days'}, {'Score': 6, 'Condition': '2 days'}, {'Score': 8, 'Condition': '1 day'}, {'Score': 10, 'Condition': 'Instant'}]</t>
  </si>
  <si>
    <t>[{'Score': 0, 'Condition': 'No items completed'}, {'Score': 2, 'Condition': '1 items completed'}, {'Score': 3, 'Condition': '2 items completed'}, {'Score': 5, 'Condition': '3 items completed'}, {'Score': 6, 'Condition': '4 items completed'}, {'Score': 8, 'Condition': '5 items completed'}, {'Score': 9, 'Condition': '6 items completed'}, {'Score': 10, 'Condition': '7 items completed'}]</t>
  </si>
  <si>
    <t>[{'Score': 0, 'Condition': 'No items completed'}, {'Score': 5, 'Condition': '1 item completed'}, {'Score': 10, 'Condition': '2 items completed'}]</t>
  </si>
  <si>
    <t>[{'Score': 0, 'Condition': '0%'}, {'Score': 1, 'Condition': '10%'}, {'Score': 2, 'Condition': '20%'}, {'Score': 3, 'Condition': '30%'}, {'Score': 4, 'Condition': '40%'}, {'Score': 5, 'Condition': '50%'}, {'Score': 6, 'Condition': '60%'}, {'Score': 7, 'Condition': '70%'}, {'Score': 8, 'Condition': '80% '}, {'Score': 9, 'Condition': '90%'}, {'Score': 10, 'Condition': 'Near 100%'}]</t>
  </si>
  <si>
    <t>[{'Score': 0, 'Condition': 'No items completed'}, {'Score': 5, 'Condition': '1 item  completed'}, {'Score': 10, 'Condition': '2 items completed'}]</t>
  </si>
  <si>
    <t>[{'Score': 0, 'Condition': '0%'}, {'Score': 1, 'Condition': '10%'}, {'Score': 2, 'Condition': '20%'}, {'Score': 3, 'Condition': '30%'}, {'Score': 4, 'Condition': '40%'}, {'Score': 5, 'Condition': '50%'}, {'Score': 6, 'Condition': '60%'}, {'Score': 7, 'Condition': '70%'}, {'Score': 8, 'Condition': '80%'}, {'Score': 9, 'Condition': '90%'}, {'Score': 10, 'Condition': 'Near 100%'}]</t>
  </si>
  <si>
    <t>[{'Score': 0, 'Condition': 'No items completed'}, {'Score': 3, 'Condition': '1 item completed'}, {'Score': 5, 'Condition': '2 items completed'}, {'Score': 8, 'Condition': '3 items completed'}, {'Score': 10, 'Condition': '4 items completed'}]</t>
  </si>
  <si>
    <t>[{'Score': 0, 'Condition': 'No alerting in workflow tools'}, {'Score': 1, 'Condition': 'Alerting in at least one tool'}, {'Score': 3, 'Condition': 'Alerting in some tooling [&gt;20%]'}, {'Score': 6, 'Condition': 'Alerting in most tooling [&gt;60%]'}, {'Score': 10, 'Condition': 'Alerting in all workflow tools [100%]'}]</t>
  </si>
  <si>
    <t>[{'Score': 0, 'Condition': 'No items completed'}, {'Score': 2, 'Condition': '1 item completed'}, {'Score': 4, 'Condition': '2 items completed'}, {'Score': 6, 'Condition': '3 items completed'}, {'Score': 8, 'Condition': '4 items completed'}, {'Score': 10, 'Condition': '5 items completed'}]</t>
  </si>
  <si>
    <t>[{'Score': 0, 'Condition': 'No items completed'}, {'Score': 2, 'Condition': '1 item completed'}, {'Score': 4, 'Condition': '2 items completed'}, {'Score': 5, 'Condition': '3 items completed'}, {'Score': 7, 'Condition': '4 items completed'}, {'Score': 9, 'Condition': '5 items completed'}, {'Score': 10, 'Condition': '6 items completed'}]</t>
  </si>
  <si>
    <t>[{'Score': 0, 'Condition': 'No alerting to any owners'}, {'Score': 1, 'Condition': 'Alerting in at least one owner'}, {'Score': 3, 'Condition': 'Alerting to some owners [&gt;20%]'}, {'Score': 6, 'Condition': 'Alerting to most owners [&gt;60%]'}, {'Score': 10, 'Condition': 'Alerting to all owners [100%]'}]</t>
  </si>
  <si>
    <t>[{'Score': 0, 'Condition': 'No items completed'}, {'Score': 2, 'Condition': '1 item completed'}, {'Score': 3, 'Condition': '2 items completed'}, {'Score': 4, 'Condition': '3 items completed'}, {'Score': 5, 'Condition': '4 items completed'}, {'Score': 7, 'Condition': '5 items completed'}, {'Score': 8, 'Condition': '6 items completed'}, {'Score': 9, 'Condition': '7 items completed'}, {'Score': 10, 'Condition': '8 items completed'}]</t>
  </si>
  <si>
    <t>[{'Score': 0, 'Condition': 'No items completed'}, {'Score': 5, 'Condition': 'item 1 completed'}, {'Score': 10, 'Condition': 'item 2 completed'}]</t>
  </si>
  <si>
    <t>[{'Score': 0, 'Condition': 'No items completed'}, {'Score': 4, 'Condition': '1 item completed'}, {'Score': 7, 'Condition': '2 items completed'}, {'Score': 10, 'Condition': '3 items completed'}]</t>
  </si>
  <si>
    <t>[{'Score': 0, 'Condition': 'None'}, {'Score': 1, 'Condition': 'Annual'}, {'Score': 2, 'Condition': 'Quarterly'}, {'Score': 5, 'Condition': 'Monthly'}, {'Score': 7, 'Condition': 'Bi-Weekly'}, {'Score': 8, 'Condition': 'Weekly'}, {'Score': 10, 'Condition': 'Daily'}]</t>
  </si>
  <si>
    <t>[{'Score': 0, 'Condition': 'No alerting'}, {'Score': 10, 'Condition': 'Alerting exists'}]</t>
  </si>
  <si>
    <t>[{'Score': 0, 'Condition': 'Does not exist'}, {'Score': 10, 'Condition': 'Exists'}]</t>
  </si>
  <si>
    <t>[{'Score': 0, 'Condition': 'No review of trends'}, {'Score': 3, 'Condition': 'Manual review of trends'}, {'Score': 6, 'Condition': 'Automated trend detection'}, {'Score': 10, 'Condition': 'Manual review and automated trend detection'}]</t>
  </si>
  <si>
    <t>[{'Score': 0, 'Condition': 'None'}, {'Score': 10, 'Condition': 'communicates wins in KPI thresholds and unit costs'}]</t>
  </si>
  <si>
    <t>[{'Score': 0, 'Condition': 'No documented method'}, {'Score': 10, 'Condition': 'Documented method of assessing modernization efforts'}]</t>
  </si>
  <si>
    <t>[{'Score': 0, 'Condition': 'No teardown/shutdown policy'}, {'Score': 3, 'Condition': 'Published policy'}, {'Score': 6, 'Condition': 'Classification tagged or otherwise identifiable'}, {'Score': 10, 'Condition': 'Enforced Policy with tagged/identifiable classifications'}]</t>
  </si>
  <si>
    <t>[{'Score': 0, 'Condition': 'Not done'}, {'Score': 10, 'Condition': 'Policy in place and published'}]</t>
  </si>
  <si>
    <t>[{'Score': 0, 'Condition': 'No executive sponsor identified'}, {'Score': 10, 'Condition': 'Executive sponsor formally identified and actively engaged'}]</t>
  </si>
  <si>
    <t>[{'Score': 0, 'Condition': 'Not done'}, {'Score': 10, 'Condition': 'Defined'}]</t>
  </si>
  <si>
    <t>[{'Score': 0, 'Condition': 'Not monitored'}, {'Score': 2, 'Condition': 'Reported'}, {'Score': 5, 'Condition': 'Manual remediation'}, {'Score': 10, 'Condition': 'Automated remediation'}]</t>
  </si>
  <si>
    <t>[{'Score': 0, 'Condition': 'Not done'}, {'Score': 10, 'Condition': 'Done and clearly defined'}]</t>
  </si>
  <si>
    <t>[{'Score': 0, 'Condition': '0 items completed'}, {'Score': 3, 'Condition': '1 item completed'}, {'Score': 5, 'Condition': '2 items completed'}, {'Score': 8, 'Condition': '3 items completed'}, {'Score': 10, 'Condition': '4 items completed'}]</t>
  </si>
  <si>
    <t>[{'Score': 0, 'Condition': 'No items completed'}, {'Score': 3, 'Condition': 'item 1 completed'}, {'Score': 5, 'Condition': 'items 1, and 2 completed'}, {'Score': 8, 'Condition': 'items 1, 2, and 3 completed'}, {'Score': 10, 'Condition': 'items 1, 2, 3, and 4 completed'}]</t>
  </si>
  <si>
    <t>[{'Score': 0, 'Condition': 'No rules established'}, {'Score': 10, 'Condition': 'Published policy'}]</t>
  </si>
  <si>
    <t>0: None</t>
  </si>
  <si>
    <t>0: Never</t>
  </si>
  <si>
    <t>0: No items completed</t>
  </si>
  <si>
    <t>0: 0%</t>
  </si>
  <si>
    <t>0: No alerting in workflow tools</t>
  </si>
  <si>
    <t>0: No alerting to any owners</t>
  </si>
  <si>
    <t>0: No alerting</t>
  </si>
  <si>
    <t>0: Does not exist</t>
  </si>
  <si>
    <t>0: No review of trends</t>
  </si>
  <si>
    <t>0: No documented method</t>
  </si>
  <si>
    <t>0: No teardown/shutdown policy</t>
  </si>
  <si>
    <t>0: Not done</t>
  </si>
  <si>
    <t>0: No executive sponsor identified</t>
  </si>
  <si>
    <t>0: Not monitored</t>
  </si>
  <si>
    <t>0: 0 items completed</t>
  </si>
  <si>
    <t>0: No rules established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</si>
</sst>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chartsheet" Target="chartsheets/sheet1.xml"/><Relationship Id="rId3" Type="http://schemas.openxmlformats.org/officeDocument/2006/relationships/chartsheet" Target="chartsheets/sheet2.xml"/><Relationship Id="rId4" Type="http://schemas.openxmlformats.org/officeDocument/2006/relationships/worksheet" Target="worksheets/sheet2.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37"/>
  <c:chart>
    <c:plotArea>
      <c:layout/>
      <c:pieChart>
        <c:varyColors val="1"/>
        <c:ser>
          <c:idx val="0"/>
          <c:order val="0"/>
          <c:tx>
            <c:v>Attained Percentage of Maximum Possible Score for FinOps Foundation 2026</c:v>
          </c:tx>
          <c:dLbls>
            <c:showPercent val="1"/>
          </c:dLbls>
          <c:cat>
            <c:strRef>
              <c:f>Overview!$C$1:$D$1</c:f>
              <c:strCache>
                <c:ptCount val="2"/>
                <c:pt idx="0">
                  <c:v>Calculated Weighted Average Score</c:v>
                </c:pt>
                <c:pt idx="1">
                  <c:v>Difference from Maximum Score</c:v>
                </c:pt>
              </c:strCache>
            </c:strRef>
          </c:cat>
          <c:val>
            <c:numRef>
              <c:f>Overview!$C$2:$D$2</c:f>
              <c:numCache>
                <c:formatCode>General</c:formatCode>
                <c:ptCount val="2"/>
                <c:pt idx="0">
                  <c:v>0</c:v>
                </c:pt>
                <c:pt idx="1">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37"/>
  <c:chart>
    <c:plotArea>
      <c:layout/>
      <c:radarChart>
        <c:radarStyle val="filled"/>
        <c:ser>
          <c:idx val="0"/>
          <c:order val="0"/>
          <c:tx>
            <c:v>Attained Maturity by Domain</c:v>
          </c:tx>
          <c:cat>
            <c:strRef>
              <c:f>Overview!$A$5:$A$8</c:f>
              <c:strCache>
                <c:ptCount val="4"/>
                <c:pt idx="0">
                  <c:v>Manage the FinOps Practice</c:v>
                </c:pt>
                <c:pt idx="1">
                  <c:v>Optimize Usage &amp; Cost</c:v>
                </c:pt>
                <c:pt idx="2">
                  <c:v>Quantify Business Value</c:v>
                </c:pt>
                <c:pt idx="3">
                  <c:v>Understand Usage &amp; Cost</c:v>
                </c:pt>
              </c:strCache>
            </c:strRef>
          </c:cat>
          <c:val>
            <c:numRef>
              <c:f>Overview!$U$5:$U$8</c:f>
              <c:numCache>
                <c:formatCode>General</c:formatCode>
                <c:ptCount val="4"/>
                <c:pt idx="0">
                  <c:v>0</c:v>
                </c:pt>
                <c:pt idx="1">
                  <c:v>0</c:v>
                </c:pt>
                <c:pt idx="2">
                  <c:v>0</c:v>
                </c:pt>
                <c:pt idx="3">
                  <c:v>0</c:v>
                </c:pt>
              </c:numCache>
            </c:numRef>
          </c:val>
        </c:ser>
        <c:axId val="50020001"/>
        <c:axId val="50020002"/>
      </c:radarChart>
      <c:catAx>
        <c:axId val="50020001"/>
        <c:scaling>
          <c:orientation val="minMax"/>
        </c:scaling>
        <c:axPos val="b"/>
        <c:majorGridlines/>
        <c:tickLblPos val="nextTo"/>
        <c:crossAx val="50020002"/>
        <c:crosses val="autoZero"/>
        <c:auto val="1"/>
        <c:lblAlgn val="ctr"/>
        <c:lblOffset val="100"/>
      </c:catAx>
      <c:valAx>
        <c:axId val="50020002"/>
        <c:scaling>
          <c:orientation val="minMax"/>
        </c:scaling>
        <c:axPos val="l"/>
        <c:majorGridlines/>
        <c:numFmt formatCode="General" sourceLinked="1"/>
        <c:majorTickMark val="cross"/>
        <c:tickLblPos val="nextTo"/>
        <c:crossAx val="50020001"/>
        <c:crosses val="autoZero"/>
        <c:crossBetween val="between"/>
      </c:valAx>
    </c:plotArea>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lang val="en-US"/>
  <c:style val="37"/>
  <c:chart>
    <c:plotArea>
      <c:layout/>
      <c:radarChart>
        <c:radarStyle val="filled"/>
        <c:ser>
          <c:idx val="0"/>
          <c:order val="0"/>
          <c:tx>
            <c:v>Attained Maturity by Capability</c:v>
          </c:tx>
          <c:cat>
            <c:strRef>
              <c:f>Overview!$A$12:$A$33</c:f>
              <c:strCache>
                <c:ptCount val="22"/>
                <c:pt idx="0">
                  <c:v>Allocation</c:v>
                </c:pt>
                <c:pt idx="1">
                  <c:v>Anomaly Management</c:v>
                </c:pt>
                <c:pt idx="2">
                  <c:v>Architecting &amp; Workload Placement</c:v>
                </c:pt>
                <c:pt idx="3">
                  <c:v>Automation, Tools &amp; Services</c:v>
                </c:pt>
                <c:pt idx="4">
                  <c:v>Budgeting</c:v>
                </c:pt>
                <c:pt idx="5">
                  <c:v>Data Ingestion</c:v>
                </c:pt>
                <c:pt idx="6">
                  <c:v>Executive Strategy Alignment</c:v>
                </c:pt>
                <c:pt idx="7">
                  <c:v>FinOps Assessment</c:v>
                </c:pt>
                <c:pt idx="8">
                  <c:v>FinOps Education &amp; Enablement</c:v>
                </c:pt>
                <c:pt idx="9">
                  <c:v>FinOps Practice Operations</c:v>
                </c:pt>
                <c:pt idx="10">
                  <c:v>Forecasting</c:v>
                </c:pt>
                <c:pt idx="11">
                  <c:v>Governance, Policy &amp; Risk</c:v>
                </c:pt>
                <c:pt idx="12">
                  <c:v>Intersecting Disciplines</c:v>
                </c:pt>
                <c:pt idx="13">
                  <c:v>Invoicing &amp; Chargeback</c:v>
                </c:pt>
                <c:pt idx="14">
                  <c:v>KPIs &amp; Benchmarking</c:v>
                </c:pt>
                <c:pt idx="15">
                  <c:v>Licensing &amp; SaaS</c:v>
                </c:pt>
                <c:pt idx="16">
                  <c:v>Planning &amp; Estimating</c:v>
                </c:pt>
                <c:pt idx="17">
                  <c:v>Rate Optimization</c:v>
                </c:pt>
                <c:pt idx="18">
                  <c:v>Reporting &amp; Analytics</c:v>
                </c:pt>
                <c:pt idx="19">
                  <c:v>Sustainability</c:v>
                </c:pt>
                <c:pt idx="20">
                  <c:v>Unit Economics</c:v>
                </c:pt>
                <c:pt idx="21">
                  <c:v>Usage Optimization</c:v>
                </c:pt>
              </c:strCache>
            </c:strRef>
          </c:cat>
          <c:val>
            <c:numRef>
              <c:f>Overview!$U$12:$U$33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er>
        <c:axId val="50030001"/>
        <c:axId val="50030002"/>
      </c:radarChart>
      <c:catAx>
        <c:axId val="50030001"/>
        <c:scaling>
          <c:orientation val="minMax"/>
        </c:scaling>
        <c:axPos val="b"/>
        <c:majorGridlines/>
        <c:tickLblPos val="nextTo"/>
        <c:crossAx val="50030002"/>
        <c:crosses val="autoZero"/>
        <c:auto val="1"/>
        <c:lblAlgn val="ctr"/>
        <c:lblOffset val="100"/>
      </c:catAx>
      <c:valAx>
        <c:axId val="50030002"/>
        <c:scaling>
          <c:orientation val="minMax"/>
        </c:scaling>
        <c:axPos val="l"/>
        <c:majorGridlines/>
        <c:numFmt formatCode="General" sourceLinked="1"/>
        <c:majorTickMark val="cross"/>
        <c:tickLblPos val="nextTo"/>
        <c:crossAx val="50030001"/>
        <c:crosses val="autoZero"/>
        <c:crossBetween val="between"/>
      </c:valAx>
    </c:plotArea>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4</xdr:col>
      <xdr:colOff>428625</xdr:colOff>
      <xdr:row>17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308969" cy="60783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8969" cy="60783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id="1" name="Table1" displayName="Table1" ref="A1:D2" totalsRowShown="0">
  <tableColumns count="4">
    <tableColumn id="1" name="Sum of Weights"/>
    <tableColumn id="2" name="Maximum Possible Score"/>
    <tableColumn id="3" name="Calculated Weighted Average Score"/>
    <tableColumn id="4" name="Difference from Maximum Score"/>
  </tableColumns>
  <tableStyleInfo name="TableStyleLight11" showFirstColumn="0" showLastColumn="0" showRowStripes="1" showColumnStripes="0"/>
</table>
</file>

<file path=xl/tables/table2.xml><?xml version="1.0" encoding="utf-8"?>
<table xmlns="http://schemas.openxmlformats.org/spreadsheetml/2006/main" id="2" name="Table2" displayName="Table2" ref="A4:B8" totalsRowShown="0">
  <tableColumns count="2">
    <tableColumn id="1" name="Domain"/>
    <tableColumn id="2" name="Action Count"/>
  </tableColumns>
  <tableStyleInfo name="TableStyleLight11" showFirstColumn="0" showLastColumn="0" showRowStripes="1" showColumnStripes="0"/>
</table>
</file>

<file path=xl/tables/table3.xml><?xml version="1.0" encoding="utf-8"?>
<table xmlns="http://schemas.openxmlformats.org/spreadsheetml/2006/main" id="3" name="Table3" displayName="Table3" ref="A11:B33" totalsRowShown="0">
  <tableColumns count="2">
    <tableColumn id="1" name="Capability"/>
    <tableColumn id="2" name="Action Count"/>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FinOpsPP/Framework-Assessment/tree/main/components/actions/001.md" TargetMode="External"/><Relationship Id="rId2" Type="http://schemas.openxmlformats.org/officeDocument/2006/relationships/hyperlink" Target="https://github.com/FinOpsPP/Framework-Assessment/tree/main/components/actions/002.md" TargetMode="External"/><Relationship Id="rId3" Type="http://schemas.openxmlformats.org/officeDocument/2006/relationships/hyperlink" Target="https://github.com/FinOpsPP/Framework-Assessment/tree/main/components/actions/003.md" TargetMode="External"/><Relationship Id="rId4" Type="http://schemas.openxmlformats.org/officeDocument/2006/relationships/hyperlink" Target="https://github.com/FinOpsPP/Framework-Assessment/tree/main/components/actions/004.md" TargetMode="External"/><Relationship Id="rId5" Type="http://schemas.openxmlformats.org/officeDocument/2006/relationships/hyperlink" Target="https://github.com/FinOpsPP/Framework-Assessment/tree/main/components/actions/005.md" TargetMode="External"/><Relationship Id="rId6" Type="http://schemas.openxmlformats.org/officeDocument/2006/relationships/hyperlink" Target="https://github.com/FinOpsPP/Framework-Assessment/tree/main/components/actions/006.md" TargetMode="External"/><Relationship Id="rId7" Type="http://schemas.openxmlformats.org/officeDocument/2006/relationships/hyperlink" Target="https://github.com/FinOpsPP/Framework-Assessment/tree/main/components/actions/007.md" TargetMode="External"/><Relationship Id="rId8" Type="http://schemas.openxmlformats.org/officeDocument/2006/relationships/hyperlink" Target="https://github.com/FinOpsPP/Framework-Assessment/tree/main/components/actions/008.md" TargetMode="External"/><Relationship Id="rId9" Type="http://schemas.openxmlformats.org/officeDocument/2006/relationships/hyperlink" Target="https://github.com/FinOpsPP/Framework-Assessment/tree/main/components/actions/135.md" TargetMode="External"/><Relationship Id="rId10" Type="http://schemas.openxmlformats.org/officeDocument/2006/relationships/hyperlink" Target="https://github.com/FinOpsPP/Framework-Assessment/tree/main/components/actions/009.md" TargetMode="External"/><Relationship Id="rId11" Type="http://schemas.openxmlformats.org/officeDocument/2006/relationships/hyperlink" Target="https://github.com/FinOpsPP/Framework-Assessment/tree/main/components/actions/010.md" TargetMode="External"/><Relationship Id="rId12" Type="http://schemas.openxmlformats.org/officeDocument/2006/relationships/hyperlink" Target="https://github.com/FinOpsPP/Framework-Assessment/tree/main/components/actions/011.md" TargetMode="External"/><Relationship Id="rId13" Type="http://schemas.openxmlformats.org/officeDocument/2006/relationships/hyperlink" Target="https://github.com/FinOpsPP/Framework-Assessment/tree/main/components/actions/012.md" TargetMode="External"/><Relationship Id="rId14" Type="http://schemas.openxmlformats.org/officeDocument/2006/relationships/hyperlink" Target="https://github.com/FinOpsPP/Framework-Assessment/tree/main/components/actions/013.md" TargetMode="External"/><Relationship Id="rId15" Type="http://schemas.openxmlformats.org/officeDocument/2006/relationships/hyperlink" Target="https://github.com/FinOpsPP/Framework-Assessment/tree/main/components/actions/014.md" TargetMode="External"/><Relationship Id="rId16" Type="http://schemas.openxmlformats.org/officeDocument/2006/relationships/hyperlink" Target="https://github.com/FinOpsPP/Framework-Assessment/tree/main/components/actions/015.md" TargetMode="External"/><Relationship Id="rId17" Type="http://schemas.openxmlformats.org/officeDocument/2006/relationships/hyperlink" Target="https://github.com/FinOpsPP/Framework-Assessment/tree/main/components/actions/016.md" TargetMode="External"/><Relationship Id="rId18" Type="http://schemas.openxmlformats.org/officeDocument/2006/relationships/hyperlink" Target="https://github.com/FinOpsPP/Framework-Assessment/tree/main/components/actions/017.md" TargetMode="External"/><Relationship Id="rId19" Type="http://schemas.openxmlformats.org/officeDocument/2006/relationships/hyperlink" Target="https://github.com/FinOpsPP/Framework-Assessment/tree/main/components/actions/018.md" TargetMode="External"/><Relationship Id="rId20" Type="http://schemas.openxmlformats.org/officeDocument/2006/relationships/hyperlink" Target="https://github.com/FinOpsPP/Framework-Assessment/tree/main/components/actions/019.md" TargetMode="External"/><Relationship Id="rId21" Type="http://schemas.openxmlformats.org/officeDocument/2006/relationships/hyperlink" Target="https://github.com/FinOpsPP/Framework-Assessment/tree/main/components/actions/020.md" TargetMode="External"/><Relationship Id="rId22" Type="http://schemas.openxmlformats.org/officeDocument/2006/relationships/hyperlink" Target="https://github.com/FinOpsPP/Framework-Assessment/tree/main/components/actions/021.md" TargetMode="External"/><Relationship Id="rId23" Type="http://schemas.openxmlformats.org/officeDocument/2006/relationships/hyperlink" Target="https://github.com/FinOpsPP/Framework-Assessment/tree/main/components/actions/022.md" TargetMode="External"/><Relationship Id="rId24" Type="http://schemas.openxmlformats.org/officeDocument/2006/relationships/hyperlink" Target="https://github.com/FinOpsPP/Framework-Assessment/tree/main/components/actions/023.md" TargetMode="External"/><Relationship Id="rId25" Type="http://schemas.openxmlformats.org/officeDocument/2006/relationships/hyperlink" Target="https://github.com/FinOpsPP/Framework-Assessment/tree/main/components/actions/024.md" TargetMode="External"/><Relationship Id="rId26" Type="http://schemas.openxmlformats.org/officeDocument/2006/relationships/hyperlink" Target="https://github.com/FinOpsPP/Framework-Assessment/tree/main/components/actions/025.md" TargetMode="External"/><Relationship Id="rId27" Type="http://schemas.openxmlformats.org/officeDocument/2006/relationships/hyperlink" Target="https://github.com/FinOpsPP/Framework-Assessment/tree/main/components/actions/026.md" TargetMode="External"/><Relationship Id="rId28" Type="http://schemas.openxmlformats.org/officeDocument/2006/relationships/hyperlink" Target="https://github.com/FinOpsPP/Framework-Assessment/tree/main/components/actions/027.md" TargetMode="External"/><Relationship Id="rId29" Type="http://schemas.openxmlformats.org/officeDocument/2006/relationships/hyperlink" Target="https://github.com/FinOpsPP/Framework-Assessment/tree/main/components/actions/028.md" TargetMode="External"/><Relationship Id="rId30" Type="http://schemas.openxmlformats.org/officeDocument/2006/relationships/hyperlink" Target="https://github.com/FinOpsPP/Framework-Assessment/tree/main/components/actions/029.md" TargetMode="External"/><Relationship Id="rId31" Type="http://schemas.openxmlformats.org/officeDocument/2006/relationships/hyperlink" Target="https://github.com/FinOpsPP/Framework-Assessment/tree/main/components/actions/030.md" TargetMode="External"/><Relationship Id="rId32" Type="http://schemas.openxmlformats.org/officeDocument/2006/relationships/hyperlink" Target="https://github.com/FinOpsPP/Framework-Assessment/tree/main/components/actions/031.md" TargetMode="External"/><Relationship Id="rId33" Type="http://schemas.openxmlformats.org/officeDocument/2006/relationships/hyperlink" Target="https://github.com/FinOpsPP/Framework-Assessment/tree/main/components/actions/032.md" TargetMode="External"/><Relationship Id="rId34" Type="http://schemas.openxmlformats.org/officeDocument/2006/relationships/hyperlink" Target="https://github.com/FinOpsPP/Framework-Assessment/tree/main/components/actions/033.md" TargetMode="External"/><Relationship Id="rId35" Type="http://schemas.openxmlformats.org/officeDocument/2006/relationships/hyperlink" Target="https://github.com/FinOpsPP/Framework-Assessment/tree/main/components/actions/034.md" TargetMode="External"/><Relationship Id="rId36" Type="http://schemas.openxmlformats.org/officeDocument/2006/relationships/hyperlink" Target="https://github.com/FinOpsPP/Framework-Assessment/tree/main/components/actions/035.md" TargetMode="External"/><Relationship Id="rId37" Type="http://schemas.openxmlformats.org/officeDocument/2006/relationships/hyperlink" Target="https://github.com/FinOpsPP/Framework-Assessment/tree/main/components/actions/036.md" TargetMode="External"/><Relationship Id="rId38" Type="http://schemas.openxmlformats.org/officeDocument/2006/relationships/hyperlink" Target="https://github.com/FinOpsPP/Framework-Assessment/tree/main/components/actions/037.md" TargetMode="External"/><Relationship Id="rId39" Type="http://schemas.openxmlformats.org/officeDocument/2006/relationships/hyperlink" Target="https://github.com/FinOpsPP/Framework-Assessment/tree/main/components/actions/038.md" TargetMode="External"/><Relationship Id="rId40" Type="http://schemas.openxmlformats.org/officeDocument/2006/relationships/hyperlink" Target="https://github.com/FinOpsPP/Framework-Assessment/tree/main/components/actions/039.md" TargetMode="External"/><Relationship Id="rId41" Type="http://schemas.openxmlformats.org/officeDocument/2006/relationships/hyperlink" Target="https://github.com/FinOpsPP/Framework-Assessment/tree/main/components/actions/040.md" TargetMode="External"/><Relationship Id="rId42" Type="http://schemas.openxmlformats.org/officeDocument/2006/relationships/hyperlink" Target="https://github.com/FinOpsPP/Framework-Assessment/tree/main/components/actions/041.md" TargetMode="External"/><Relationship Id="rId43" Type="http://schemas.openxmlformats.org/officeDocument/2006/relationships/hyperlink" Target="https://github.com/FinOpsPP/Framework-Assessment/tree/main/components/actions/042.md" TargetMode="External"/><Relationship Id="rId44" Type="http://schemas.openxmlformats.org/officeDocument/2006/relationships/hyperlink" Target="https://github.com/FinOpsPP/Framework-Assessment/tree/main/components/actions/043.md" TargetMode="External"/><Relationship Id="rId45" Type="http://schemas.openxmlformats.org/officeDocument/2006/relationships/hyperlink" Target="https://github.com/FinOpsPP/Framework-Assessment/tree/main/components/actions/044.md" TargetMode="External"/><Relationship Id="rId46" Type="http://schemas.openxmlformats.org/officeDocument/2006/relationships/hyperlink" Target="https://github.com/FinOpsPP/Framework-Assessment/tree/main/components/actions/045.md" TargetMode="External"/><Relationship Id="rId47" Type="http://schemas.openxmlformats.org/officeDocument/2006/relationships/hyperlink" Target="https://github.com/FinOpsPP/Framework-Assessment/tree/main/components/actions/046.md" TargetMode="External"/><Relationship Id="rId48" Type="http://schemas.openxmlformats.org/officeDocument/2006/relationships/hyperlink" Target="https://github.com/FinOpsPP/Framework-Assessment/tree/main/components/actions/047.md" TargetMode="External"/><Relationship Id="rId49" Type="http://schemas.openxmlformats.org/officeDocument/2006/relationships/hyperlink" Target="https://github.com/FinOpsPP/Framework-Assessment/tree/main/components/actions/048.md" TargetMode="External"/><Relationship Id="rId50" Type="http://schemas.openxmlformats.org/officeDocument/2006/relationships/hyperlink" Target="https://github.com/FinOpsPP/Framework-Assessment/tree/main/components/actions/049.md" TargetMode="External"/><Relationship Id="rId51" Type="http://schemas.openxmlformats.org/officeDocument/2006/relationships/hyperlink" Target="https://github.com/FinOpsPP/Framework-Assessment/tree/main/components/actions/050.md" TargetMode="External"/><Relationship Id="rId52" Type="http://schemas.openxmlformats.org/officeDocument/2006/relationships/hyperlink" Target="https://github.com/FinOpsPP/Framework-Assessment/tree/main/components/actions/051.md" TargetMode="External"/><Relationship Id="rId53" Type="http://schemas.openxmlformats.org/officeDocument/2006/relationships/hyperlink" Target="https://github.com/FinOpsPP/Framework-Assessment/tree/main/components/actions/052.md" TargetMode="External"/><Relationship Id="rId54" Type="http://schemas.openxmlformats.org/officeDocument/2006/relationships/hyperlink" Target="https://github.com/FinOpsPP/Framework-Assessment/tree/main/components/actions/053.md" TargetMode="External"/><Relationship Id="rId55" Type="http://schemas.openxmlformats.org/officeDocument/2006/relationships/hyperlink" Target="https://github.com/FinOpsPP/Framework-Assessment/tree/main/components/actions/054.md" TargetMode="External"/><Relationship Id="rId56" Type="http://schemas.openxmlformats.org/officeDocument/2006/relationships/hyperlink" Target="https://github.com/FinOpsPP/Framework-Assessment/tree/main/components/actions/055.md" TargetMode="External"/><Relationship Id="rId57" Type="http://schemas.openxmlformats.org/officeDocument/2006/relationships/hyperlink" Target="https://github.com/FinOpsPP/Framework-Assessment/tree/main/components/actions/056.md" TargetMode="External"/><Relationship Id="rId58" Type="http://schemas.openxmlformats.org/officeDocument/2006/relationships/hyperlink" Target="https://github.com/FinOpsPP/Framework-Assessment/tree/main/components/actions/057.md" TargetMode="External"/><Relationship Id="rId59" Type="http://schemas.openxmlformats.org/officeDocument/2006/relationships/hyperlink" Target="https://github.com/FinOpsPP/Framework-Assessment/tree/main/components/actions/058.md" TargetMode="External"/><Relationship Id="rId60" Type="http://schemas.openxmlformats.org/officeDocument/2006/relationships/hyperlink" Target="https://github.com/FinOpsPP/Framework-Assessment/tree/main/components/actions/059.md" TargetMode="External"/><Relationship Id="rId61" Type="http://schemas.openxmlformats.org/officeDocument/2006/relationships/hyperlink" Target="https://github.com/FinOpsPP/Framework-Assessment/tree/main/components/actions/060.md" TargetMode="External"/><Relationship Id="rId62" Type="http://schemas.openxmlformats.org/officeDocument/2006/relationships/hyperlink" Target="https://github.com/FinOpsPP/Framework-Assessment/tree/main/components/actions/061.md" TargetMode="External"/><Relationship Id="rId63" Type="http://schemas.openxmlformats.org/officeDocument/2006/relationships/hyperlink" Target="https://github.com/FinOpsPP/Framework-Assessment/tree/main/components/actions/062.md" TargetMode="External"/><Relationship Id="rId64" Type="http://schemas.openxmlformats.org/officeDocument/2006/relationships/hyperlink" Target="https://github.com/FinOpsPP/Framework-Assessment/tree/main/components/actions/063.md" TargetMode="External"/><Relationship Id="rId65" Type="http://schemas.openxmlformats.org/officeDocument/2006/relationships/hyperlink" Target="https://github.com/FinOpsPP/Framework-Assessment/tree/main/components/actions/064.md" TargetMode="External"/><Relationship Id="rId66" Type="http://schemas.openxmlformats.org/officeDocument/2006/relationships/hyperlink" Target="https://github.com/FinOpsPP/Framework-Assessment/tree/main/components/actions/065.md" TargetMode="External"/><Relationship Id="rId67" Type="http://schemas.openxmlformats.org/officeDocument/2006/relationships/hyperlink" Target="https://github.com/FinOpsPP/Framework-Assessment/tree/main/components/actions/066.md" TargetMode="External"/><Relationship Id="rId68" Type="http://schemas.openxmlformats.org/officeDocument/2006/relationships/hyperlink" Target="https://github.com/FinOpsPP/Framework-Assessment/tree/main/components/actions/118.md" TargetMode="External"/><Relationship Id="rId69" Type="http://schemas.openxmlformats.org/officeDocument/2006/relationships/hyperlink" Target="https://github.com/FinOpsPP/Framework-Assessment/tree/main/components/actions/119.md" TargetMode="External"/><Relationship Id="rId70" Type="http://schemas.openxmlformats.org/officeDocument/2006/relationships/hyperlink" Target="https://github.com/FinOpsPP/Framework-Assessment/tree/main/components/actions/120.md" TargetMode="External"/><Relationship Id="rId71" Type="http://schemas.openxmlformats.org/officeDocument/2006/relationships/hyperlink" Target="https://github.com/FinOpsPP/Framework-Assessment/tree/main/components/actions/121.md" TargetMode="External"/><Relationship Id="rId72" Type="http://schemas.openxmlformats.org/officeDocument/2006/relationships/hyperlink" Target="https://github.com/FinOpsPP/Framework-Assessment/tree/main/components/actions/122.md" TargetMode="External"/><Relationship Id="rId73" Type="http://schemas.openxmlformats.org/officeDocument/2006/relationships/hyperlink" Target="https://github.com/FinOpsPP/Framework-Assessment/tree/main/components/actions/123.md" TargetMode="External"/><Relationship Id="rId74" Type="http://schemas.openxmlformats.org/officeDocument/2006/relationships/hyperlink" Target="https://github.com/FinOpsPP/Framework-Assessment/tree/main/components/actions/067.md" TargetMode="External"/><Relationship Id="rId75" Type="http://schemas.openxmlformats.org/officeDocument/2006/relationships/hyperlink" Target="https://github.com/FinOpsPP/Framework-Assessment/tree/main/components/actions/068.md" TargetMode="External"/><Relationship Id="rId76" Type="http://schemas.openxmlformats.org/officeDocument/2006/relationships/hyperlink" Target="https://github.com/FinOpsPP/Framework-Assessment/tree/main/components/actions/069.md" TargetMode="External"/><Relationship Id="rId77" Type="http://schemas.openxmlformats.org/officeDocument/2006/relationships/hyperlink" Target="https://github.com/FinOpsPP/Framework-Assessment/tree/main/components/actions/070.md" TargetMode="External"/><Relationship Id="rId78" Type="http://schemas.openxmlformats.org/officeDocument/2006/relationships/hyperlink" Target="https://github.com/FinOpsPP/Framework-Assessment/tree/main/components/actions/071.md" TargetMode="External"/><Relationship Id="rId79" Type="http://schemas.openxmlformats.org/officeDocument/2006/relationships/hyperlink" Target="https://github.com/FinOpsPP/Framework-Assessment/tree/main/components/actions/072.md" TargetMode="External"/><Relationship Id="rId80" Type="http://schemas.openxmlformats.org/officeDocument/2006/relationships/hyperlink" Target="https://github.com/FinOpsPP/Framework-Assessment/tree/main/components/actions/079.md" TargetMode="External"/><Relationship Id="rId81" Type="http://schemas.openxmlformats.org/officeDocument/2006/relationships/hyperlink" Target="https://github.com/FinOpsPP/Framework-Assessment/tree/main/components/actions/080.md" TargetMode="External"/><Relationship Id="rId82" Type="http://schemas.openxmlformats.org/officeDocument/2006/relationships/hyperlink" Target="https://github.com/FinOpsPP/Framework-Assessment/tree/main/components/actions/081.md" TargetMode="External"/><Relationship Id="rId83" Type="http://schemas.openxmlformats.org/officeDocument/2006/relationships/hyperlink" Target="https://github.com/FinOpsPP/Framework-Assessment/tree/main/components/actions/082.md" TargetMode="External"/><Relationship Id="rId84" Type="http://schemas.openxmlformats.org/officeDocument/2006/relationships/hyperlink" Target="https://github.com/FinOpsPP/Framework-Assessment/tree/main/components/actions/083.md" TargetMode="External"/><Relationship Id="rId85" Type="http://schemas.openxmlformats.org/officeDocument/2006/relationships/hyperlink" Target="https://github.com/FinOpsPP/Framework-Assessment/tree/main/components/actions/084.md" TargetMode="External"/><Relationship Id="rId86" Type="http://schemas.openxmlformats.org/officeDocument/2006/relationships/hyperlink" Target="https://github.com/FinOpsPP/Framework-Assessment/tree/main/components/actions/073.md" TargetMode="External"/><Relationship Id="rId87" Type="http://schemas.openxmlformats.org/officeDocument/2006/relationships/hyperlink" Target="https://github.com/FinOpsPP/Framework-Assessment/tree/main/components/actions/074.md" TargetMode="External"/><Relationship Id="rId88" Type="http://schemas.openxmlformats.org/officeDocument/2006/relationships/hyperlink" Target="https://github.com/FinOpsPP/Framework-Assessment/tree/main/components/actions/075.md" TargetMode="External"/><Relationship Id="rId89" Type="http://schemas.openxmlformats.org/officeDocument/2006/relationships/hyperlink" Target="https://github.com/FinOpsPP/Framework-Assessment/tree/main/components/actions/076.md" TargetMode="External"/><Relationship Id="rId90" Type="http://schemas.openxmlformats.org/officeDocument/2006/relationships/hyperlink" Target="https://github.com/FinOpsPP/Framework-Assessment/tree/main/components/actions/077.md" TargetMode="External"/><Relationship Id="rId91" Type="http://schemas.openxmlformats.org/officeDocument/2006/relationships/hyperlink" Target="https://github.com/FinOpsPP/Framework-Assessment/tree/main/components/actions/078.md" TargetMode="External"/><Relationship Id="rId92" Type="http://schemas.openxmlformats.org/officeDocument/2006/relationships/hyperlink" Target="https://github.com/FinOpsPP/Framework-Assessment/tree/main/components/actions/085.md" TargetMode="External"/><Relationship Id="rId93" Type="http://schemas.openxmlformats.org/officeDocument/2006/relationships/hyperlink" Target="https://github.com/FinOpsPP/Framework-Assessment/tree/main/components/actions/086.md" TargetMode="External"/><Relationship Id="rId94" Type="http://schemas.openxmlformats.org/officeDocument/2006/relationships/hyperlink" Target="https://github.com/FinOpsPP/Framework-Assessment/tree/main/components/actions/087.md" TargetMode="External"/><Relationship Id="rId95" Type="http://schemas.openxmlformats.org/officeDocument/2006/relationships/hyperlink" Target="https://github.com/FinOpsPP/Framework-Assessment/tree/main/components/actions/088.md" TargetMode="External"/><Relationship Id="rId96" Type="http://schemas.openxmlformats.org/officeDocument/2006/relationships/hyperlink" Target="https://github.com/FinOpsPP/Framework-Assessment/tree/main/components/actions/089.md" TargetMode="External"/><Relationship Id="rId97" Type="http://schemas.openxmlformats.org/officeDocument/2006/relationships/hyperlink" Target="https://github.com/FinOpsPP/Framework-Assessment/tree/main/components/actions/090.md" TargetMode="External"/><Relationship Id="rId98" Type="http://schemas.openxmlformats.org/officeDocument/2006/relationships/hyperlink" Target="https://github.com/FinOpsPP/Framework-Assessment/tree/main/components/actions/136.md" TargetMode="External"/><Relationship Id="rId99" Type="http://schemas.openxmlformats.org/officeDocument/2006/relationships/hyperlink" Target="https://github.com/FinOpsPP/Framework-Assessment/tree/main/components/actions/137.md" TargetMode="External"/><Relationship Id="rId100" Type="http://schemas.openxmlformats.org/officeDocument/2006/relationships/hyperlink" Target="https://github.com/FinOpsPP/Framework-Assessment/tree/main/components/actions/138.md" TargetMode="External"/><Relationship Id="rId101" Type="http://schemas.openxmlformats.org/officeDocument/2006/relationships/hyperlink" Target="https://github.com/FinOpsPP/Framework-Assessment/tree/main/components/actions/139.md" TargetMode="External"/><Relationship Id="rId102" Type="http://schemas.openxmlformats.org/officeDocument/2006/relationships/hyperlink" Target="https://github.com/FinOpsPP/Framework-Assessment/tree/main/components/actions/091.md" TargetMode="External"/><Relationship Id="rId103" Type="http://schemas.openxmlformats.org/officeDocument/2006/relationships/hyperlink" Target="https://github.com/FinOpsPP/Framework-Assessment/tree/main/components/actions/092.md" TargetMode="External"/><Relationship Id="rId104" Type="http://schemas.openxmlformats.org/officeDocument/2006/relationships/hyperlink" Target="https://github.com/FinOpsPP/Framework-Assessment/tree/main/components/actions/093.md" TargetMode="External"/><Relationship Id="rId105" Type="http://schemas.openxmlformats.org/officeDocument/2006/relationships/hyperlink" Target="https://github.com/FinOpsPP/Framework-Assessment/tree/main/components/actions/094.md" TargetMode="External"/><Relationship Id="rId106" Type="http://schemas.openxmlformats.org/officeDocument/2006/relationships/hyperlink" Target="https://github.com/FinOpsPP/Framework-Assessment/tree/main/components/actions/095.md" TargetMode="External"/><Relationship Id="rId107" Type="http://schemas.openxmlformats.org/officeDocument/2006/relationships/hyperlink" Target="https://github.com/FinOpsPP/Framework-Assessment/tree/main/components/actions/096.md" TargetMode="External"/><Relationship Id="rId108" Type="http://schemas.openxmlformats.org/officeDocument/2006/relationships/hyperlink" Target="https://github.com/FinOpsPP/Framework-Assessment/tree/main/components/actions/102.md" TargetMode="External"/><Relationship Id="rId109" Type="http://schemas.openxmlformats.org/officeDocument/2006/relationships/hyperlink" Target="https://github.com/FinOpsPP/Framework-Assessment/tree/main/components/actions/103.md" TargetMode="External"/><Relationship Id="rId110" Type="http://schemas.openxmlformats.org/officeDocument/2006/relationships/hyperlink" Target="https://github.com/FinOpsPP/Framework-Assessment/tree/main/components/actions/104.md" TargetMode="External"/><Relationship Id="rId111" Type="http://schemas.openxmlformats.org/officeDocument/2006/relationships/hyperlink" Target="https://github.com/FinOpsPP/Framework-Assessment/tree/main/components/actions/105.md" TargetMode="External"/><Relationship Id="rId112" Type="http://schemas.openxmlformats.org/officeDocument/2006/relationships/hyperlink" Target="https://github.com/FinOpsPP/Framework-Assessment/tree/main/components/actions/106.md" TargetMode="External"/><Relationship Id="rId113" Type="http://schemas.openxmlformats.org/officeDocument/2006/relationships/hyperlink" Target="https://github.com/FinOpsPP/Framework-Assessment/tree/main/components/actions/097.md" TargetMode="External"/><Relationship Id="rId114" Type="http://schemas.openxmlformats.org/officeDocument/2006/relationships/hyperlink" Target="https://github.com/FinOpsPP/Framework-Assessment/tree/main/components/actions/098.md" TargetMode="External"/><Relationship Id="rId115" Type="http://schemas.openxmlformats.org/officeDocument/2006/relationships/hyperlink" Target="https://github.com/FinOpsPP/Framework-Assessment/tree/main/components/actions/099.md" TargetMode="External"/><Relationship Id="rId116" Type="http://schemas.openxmlformats.org/officeDocument/2006/relationships/hyperlink" Target="https://github.com/FinOpsPP/Framework-Assessment/tree/main/components/actions/100.md" TargetMode="External"/><Relationship Id="rId117" Type="http://schemas.openxmlformats.org/officeDocument/2006/relationships/hyperlink" Target="https://github.com/FinOpsPP/Framework-Assessment/tree/main/components/actions/101.md" TargetMode="External"/><Relationship Id="rId118" Type="http://schemas.openxmlformats.org/officeDocument/2006/relationships/hyperlink" Target="https://github.com/FinOpsPP/Framework-Assessment/tree/main/components/actions/107.md" TargetMode="External"/><Relationship Id="rId119" Type="http://schemas.openxmlformats.org/officeDocument/2006/relationships/hyperlink" Target="https://github.com/FinOpsPP/Framework-Assessment/tree/main/components/actions/108.md" TargetMode="External"/><Relationship Id="rId120" Type="http://schemas.openxmlformats.org/officeDocument/2006/relationships/hyperlink" Target="https://github.com/FinOpsPP/Framework-Assessment/tree/main/components/actions/109.md" TargetMode="External"/><Relationship Id="rId121" Type="http://schemas.openxmlformats.org/officeDocument/2006/relationships/hyperlink" Target="https://github.com/FinOpsPP/Framework-Assessment/tree/main/components/actions/110.md" TargetMode="External"/><Relationship Id="rId122" Type="http://schemas.openxmlformats.org/officeDocument/2006/relationships/hyperlink" Target="https://github.com/FinOpsPP/Framework-Assessment/tree/main/components/actions/111.md" TargetMode="External"/><Relationship Id="rId123" Type="http://schemas.openxmlformats.org/officeDocument/2006/relationships/hyperlink" Target="https://github.com/FinOpsPP/Framework-Assessment/tree/main/components/actions/112.md" TargetMode="External"/><Relationship Id="rId124" Type="http://schemas.openxmlformats.org/officeDocument/2006/relationships/hyperlink" Target="https://github.com/FinOpsPP/Framework-Assessment/tree/main/components/actions/113.md" TargetMode="External"/><Relationship Id="rId125" Type="http://schemas.openxmlformats.org/officeDocument/2006/relationships/hyperlink" Target="https://github.com/FinOpsPP/Framework-Assessment/tree/main/components/actions/114.md" TargetMode="External"/><Relationship Id="rId126" Type="http://schemas.openxmlformats.org/officeDocument/2006/relationships/hyperlink" Target="https://github.com/FinOpsPP/Framework-Assessment/tree/main/components/actions/115.md" TargetMode="External"/><Relationship Id="rId127" Type="http://schemas.openxmlformats.org/officeDocument/2006/relationships/hyperlink" Target="https://github.com/FinOpsPP/Framework-Assessment/tree/main/components/actions/116.md" TargetMode="External"/><Relationship Id="rId128" Type="http://schemas.openxmlformats.org/officeDocument/2006/relationships/hyperlink" Target="https://github.com/FinOpsPP/Framework-Assessment/tree/main/components/actions/117.md" TargetMode="External"/><Relationship Id="rId129" Type="http://schemas.openxmlformats.org/officeDocument/2006/relationships/hyperlink" Target="https://github.com/FinOpsPP/Framework-Assessment/tree/main/components/actions/124.md" TargetMode="External"/><Relationship Id="rId130" Type="http://schemas.openxmlformats.org/officeDocument/2006/relationships/hyperlink" Target="https://github.com/FinOpsPP/Framework-Assessment/tree/main/components/actions/125.md" TargetMode="External"/><Relationship Id="rId131" Type="http://schemas.openxmlformats.org/officeDocument/2006/relationships/hyperlink" Target="https://github.com/FinOpsPP/Framework-Assessment/tree/main/components/actions/126.md" TargetMode="External"/><Relationship Id="rId132" Type="http://schemas.openxmlformats.org/officeDocument/2006/relationships/hyperlink" Target="https://github.com/FinOpsPP/Framework-Assessment/tree/main/components/actions/127.md" TargetMode="External"/><Relationship Id="rId133" Type="http://schemas.openxmlformats.org/officeDocument/2006/relationships/hyperlink" Target="https://github.com/FinOpsPP/Framework-Assessment/tree/main/components/actions/128.md" TargetMode="External"/><Relationship Id="rId134" Type="http://schemas.openxmlformats.org/officeDocument/2006/relationships/hyperlink" Target="https://github.com/FinOpsPP/Framework-Assessment/tree/main/components/actions/129.md" TargetMode="External"/><Relationship Id="rId135" Type="http://schemas.openxmlformats.org/officeDocument/2006/relationships/hyperlink" Target="https://github.com/FinOpsPP/Framework-Assessment/tree/main/components/actions/130.md" TargetMode="External"/><Relationship Id="rId136" Type="http://schemas.openxmlformats.org/officeDocument/2006/relationships/hyperlink" Target="https://github.com/FinOpsPP/Framework-Assessment/tree/main/components/actions/131.md" TargetMode="External"/><Relationship Id="rId137" Type="http://schemas.openxmlformats.org/officeDocument/2006/relationships/hyperlink" Target="https://github.com/FinOpsPP/Framework-Assessment/tree/main/components/actions/132.md" TargetMode="External"/><Relationship Id="rId138" Type="http://schemas.openxmlformats.org/officeDocument/2006/relationships/hyperlink" Target="https://github.com/FinOpsPP/Framework-Assessment/tree/main/components/actions/133.md" TargetMode="External"/><Relationship Id="rId139" Type="http://schemas.openxmlformats.org/officeDocument/2006/relationships/hyperlink" Target="https://github.com/FinOpsPP/Framework-Assessment/tree/main/components/actions/134.md" TargetMode="External"/></Relationships>
</file>

<file path=xl/worksheets/sheet1.xml><?xml version="1.0" encoding="utf-8"?>
<worksheet xmlns="http://schemas.openxmlformats.org/spreadsheetml/2006/main" xmlns:r="http://schemas.openxmlformats.org/officeDocument/2006/relationships">
  <dimension ref="A1:U34"/>
  <sheetViews>
    <sheetView tabSelected="1" workbookViewId="0"/>
  </sheetViews>
  <sheetFormatPr defaultRowHeight="15"/>
  <cols>
    <col min="1" max="1" width="32.42578125" bestFit="1" customWidth="1"/>
    <col min="2" max="2" width="23" bestFit="1" customWidth="1"/>
    <col min="3" max="3" width="32.42578125" bestFit="1" customWidth="1"/>
    <col min="4" max="4" width="29.7109375" bestFit="1" customWidth="1"/>
  </cols>
  <sheetData>
    <row r="1" spans="1:21">
      <c r="A1" t="s">
        <v>0</v>
      </c>
      <c r="B1" t="s">
        <v>1</v>
      </c>
      <c r="C1" t="s">
        <v>2</v>
      </c>
      <c r="D1" t="s">
        <v>3</v>
      </c>
    </row>
    <row r="2" spans="1:21">
      <c r="A2">
        <f>SUM(Scoring!E2:E140)</f>
        <v>0</v>
      </c>
      <c r="B2">
        <v>10</v>
      </c>
      <c r="C2">
        <f>SUM(Scoring!H2:H140)/A2</f>
        <v>0</v>
      </c>
      <c r="D2">
        <f>B2-C2</f>
        <v>0</v>
      </c>
    </row>
    <row r="4" spans="1:21">
      <c r="A4" t="s">
        <v>4</v>
      </c>
      <c r="B4" t="s">
        <v>5</v>
      </c>
    </row>
    <row r="5" spans="1:21">
      <c r="A5" t="s">
        <v>6</v>
      </c>
      <c r="B5">
        <v>42</v>
      </c>
      <c r="U5">
        <f>SUMIF(Scoring!I2:I140,A5,Scoring!H2:H140)/SUMIF(Scoring!I2:I140,A5,Scoring!E2:E140)</f>
        <v>0</v>
      </c>
    </row>
    <row r="6" spans="1:21">
      <c r="A6" t="s">
        <v>7</v>
      </c>
      <c r="B6">
        <v>36</v>
      </c>
      <c r="U6">
        <f>SUMIF(Scoring!I2:I140,A6,Scoring!H2:H140)/SUMIF(Scoring!I2:I140,A6,Scoring!E2:E140)</f>
        <v>0</v>
      </c>
    </row>
    <row r="7" spans="1:21">
      <c r="A7" t="s">
        <v>8</v>
      </c>
      <c r="B7">
        <v>31</v>
      </c>
      <c r="U7">
        <f>SUMIF(Scoring!I2:I140,A7,Scoring!H2:H140)/SUMIF(Scoring!I2:I140,A7,Scoring!E2:E140)</f>
        <v>0</v>
      </c>
    </row>
    <row r="8" spans="1:21">
      <c r="A8" t="s">
        <v>9</v>
      </c>
      <c r="B8">
        <v>30</v>
      </c>
      <c r="U8">
        <f>SUMIF(Scoring!I2:I140,A8,Scoring!H2:H140)/SUMIF(Scoring!I2:I140,A8,Scoring!E2:E140)</f>
        <v>0</v>
      </c>
    </row>
    <row r="9" spans="1:21">
      <c r="B9">
        <f>SUM(Overview!$B$5:$B$8)</f>
        <v>0</v>
      </c>
    </row>
    <row r="11" spans="1:21">
      <c r="A11" t="s">
        <v>10</v>
      </c>
      <c r="B11" t="s">
        <v>5</v>
      </c>
    </row>
    <row r="12" spans="1:21">
      <c r="A12" t="s">
        <v>11</v>
      </c>
      <c r="B12">
        <v>7</v>
      </c>
      <c r="U12">
        <f>SUMIF(Scoring!J2:J140,A12,Scoring!H2:H140)/SUMIF(Scoring!J2:J140,A12,Scoring!E2:E140)</f>
        <v>0</v>
      </c>
    </row>
    <row r="13" spans="1:21">
      <c r="A13" t="s">
        <v>12</v>
      </c>
      <c r="B13">
        <v>7</v>
      </c>
      <c r="U13">
        <f>SUMIF(Scoring!J2:J140,A13,Scoring!H2:H140)/SUMIF(Scoring!J2:J140,A13,Scoring!E2:E140)</f>
        <v>0</v>
      </c>
    </row>
    <row r="14" spans="1:21">
      <c r="A14" t="s">
        <v>13</v>
      </c>
      <c r="B14">
        <v>12</v>
      </c>
      <c r="U14">
        <f>SUMIF(Scoring!J2:J140,A14,Scoring!H2:H140)/SUMIF(Scoring!J2:J140,A14,Scoring!E2:E140)</f>
        <v>0</v>
      </c>
    </row>
    <row r="15" spans="1:21">
      <c r="A15" t="s">
        <v>14</v>
      </c>
      <c r="B15">
        <v>5</v>
      </c>
      <c r="U15">
        <f>SUMIF(Scoring!J2:J140,A15,Scoring!H2:H140)/SUMIF(Scoring!J2:J140,A15,Scoring!E2:E140)</f>
        <v>0</v>
      </c>
    </row>
    <row r="16" spans="1:21">
      <c r="A16" t="s">
        <v>15</v>
      </c>
      <c r="B16">
        <v>6</v>
      </c>
      <c r="U16">
        <f>SUMIF(Scoring!J2:J140,A16,Scoring!H2:H140)/SUMIF(Scoring!J2:J140,A16,Scoring!E2:E140)</f>
        <v>0</v>
      </c>
    </row>
    <row r="17" spans="1:21">
      <c r="A17" t="s">
        <v>16</v>
      </c>
      <c r="B17">
        <v>9</v>
      </c>
      <c r="U17">
        <f>SUMIF(Scoring!J2:J140,A17,Scoring!H2:H140)/SUMIF(Scoring!J2:J140,A17,Scoring!E2:E140)</f>
        <v>0</v>
      </c>
    </row>
    <row r="18" spans="1:21">
      <c r="A18" t="s">
        <v>17</v>
      </c>
      <c r="B18">
        <v>4</v>
      </c>
      <c r="U18">
        <f>SUMIF(Scoring!J2:J140,A18,Scoring!H2:H140)/SUMIF(Scoring!J2:J140,A18,Scoring!E2:E140)</f>
        <v>0</v>
      </c>
    </row>
    <row r="19" spans="1:21">
      <c r="A19" t="s">
        <v>18</v>
      </c>
      <c r="B19">
        <v>5</v>
      </c>
      <c r="U19">
        <f>SUMIF(Scoring!J2:J140,A19,Scoring!H2:H140)/SUMIF(Scoring!J2:J140,A19,Scoring!E2:E140)</f>
        <v>0</v>
      </c>
    </row>
    <row r="20" spans="1:21">
      <c r="A20" t="s">
        <v>19</v>
      </c>
      <c r="B20">
        <v>5</v>
      </c>
      <c r="U20">
        <f>SUMIF(Scoring!J2:J140,A20,Scoring!H2:H140)/SUMIF(Scoring!J2:J140,A20,Scoring!E2:E140)</f>
        <v>0</v>
      </c>
    </row>
    <row r="21" spans="1:21">
      <c r="A21" t="s">
        <v>20</v>
      </c>
      <c r="B21">
        <v>6</v>
      </c>
      <c r="U21">
        <f>SUMIF(Scoring!J2:J140,A21,Scoring!H2:H140)/SUMIF(Scoring!J2:J140,A21,Scoring!E2:E140)</f>
        <v>0</v>
      </c>
    </row>
    <row r="22" spans="1:21">
      <c r="A22" t="s">
        <v>21</v>
      </c>
      <c r="B22">
        <v>6</v>
      </c>
      <c r="U22">
        <f>SUMIF(Scoring!J2:J140,A22,Scoring!H2:H140)/SUMIF(Scoring!J2:J140,A22,Scoring!E2:E140)</f>
        <v>0</v>
      </c>
    </row>
    <row r="23" spans="1:21">
      <c r="A23" t="s">
        <v>22</v>
      </c>
      <c r="B23">
        <v>5</v>
      </c>
      <c r="U23">
        <f>SUMIF(Scoring!J2:J140,A23,Scoring!H2:H140)/SUMIF(Scoring!J2:J140,A23,Scoring!E2:E140)</f>
        <v>0</v>
      </c>
    </row>
    <row r="24" spans="1:21">
      <c r="A24" t="s">
        <v>23</v>
      </c>
      <c r="B24">
        <v>6</v>
      </c>
      <c r="U24">
        <f>SUMIF(Scoring!J2:J140,A24,Scoring!H2:H140)/SUMIF(Scoring!J2:J140,A24,Scoring!E2:E140)</f>
        <v>0</v>
      </c>
    </row>
    <row r="25" spans="1:21">
      <c r="A25" t="s">
        <v>24</v>
      </c>
      <c r="B25">
        <v>6</v>
      </c>
      <c r="U25">
        <f>SUMIF(Scoring!J2:J140,A25,Scoring!H2:H140)/SUMIF(Scoring!J2:J140,A25,Scoring!E2:E140)</f>
        <v>0</v>
      </c>
    </row>
    <row r="26" spans="1:21">
      <c r="A26" t="s">
        <v>25</v>
      </c>
      <c r="B26">
        <v>6</v>
      </c>
      <c r="U26">
        <f>SUMIF(Scoring!J2:J140,A26,Scoring!H2:H140)/SUMIF(Scoring!J2:J140,A26,Scoring!E2:E140)</f>
        <v>0</v>
      </c>
    </row>
    <row r="27" spans="1:21">
      <c r="A27" t="s">
        <v>26</v>
      </c>
      <c r="B27">
        <v>6</v>
      </c>
      <c r="U27">
        <f>SUMIF(Scoring!J2:J140,A27,Scoring!H2:H140)/SUMIF(Scoring!J2:J140,A27,Scoring!E2:E140)</f>
        <v>0</v>
      </c>
    </row>
    <row r="28" spans="1:21">
      <c r="A28" t="s">
        <v>27</v>
      </c>
      <c r="B28">
        <v>7</v>
      </c>
      <c r="U28">
        <f>SUMIF(Scoring!J2:J140,A28,Scoring!H2:H140)/SUMIF(Scoring!J2:J140,A28,Scoring!E2:E140)</f>
        <v>0</v>
      </c>
    </row>
    <row r="29" spans="1:21">
      <c r="A29" t="s">
        <v>28</v>
      </c>
      <c r="B29">
        <v>6</v>
      </c>
      <c r="U29">
        <f>SUMIF(Scoring!J2:J140,A29,Scoring!H2:H140)/SUMIF(Scoring!J2:J140,A29,Scoring!E2:E140)</f>
        <v>0</v>
      </c>
    </row>
    <row r="30" spans="1:21">
      <c r="A30" t="s">
        <v>29</v>
      </c>
      <c r="B30">
        <v>7</v>
      </c>
      <c r="U30">
        <f>SUMIF(Scoring!J2:J140,A30,Scoring!H2:H140)/SUMIF(Scoring!J2:J140,A30,Scoring!E2:E140)</f>
        <v>0</v>
      </c>
    </row>
    <row r="31" spans="1:21">
      <c r="A31" t="s">
        <v>30</v>
      </c>
      <c r="B31">
        <v>6</v>
      </c>
      <c r="U31">
        <f>SUMIF(Scoring!J2:J140,A31,Scoring!H2:H140)/SUMIF(Scoring!J2:J140,A31,Scoring!E2:E140)</f>
        <v>0</v>
      </c>
    </row>
    <row r="32" spans="1:21">
      <c r="A32" t="s">
        <v>31</v>
      </c>
      <c r="B32">
        <v>6</v>
      </c>
      <c r="U32">
        <f>SUMIF(Scoring!J2:J140,A32,Scoring!H2:H140)/SUMIF(Scoring!J2:J140,A32,Scoring!E2:E140)</f>
        <v>0</v>
      </c>
    </row>
    <row r="33" spans="1:21">
      <c r="A33" t="s">
        <v>32</v>
      </c>
      <c r="B33">
        <v>6</v>
      </c>
      <c r="U33">
        <f>SUMIF(Scoring!J2:J140,A33,Scoring!H2:H140)/SUMIF(Scoring!J2:J140,A33,Scoring!E2:E140)</f>
        <v>0</v>
      </c>
    </row>
    <row r="34" spans="1:21">
      <c r="B34">
        <f>SUM(Overview!$B$12:$B$33)</f>
        <v>0</v>
      </c>
    </row>
  </sheetData>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dimension ref="A1:J140"/>
  <sheetViews>
    <sheetView workbookViewId="0"/>
  </sheetViews>
  <sheetFormatPr defaultRowHeight="15"/>
  <cols>
    <col min="1" max="1" width="25.42578125" bestFit="1" customWidth="1"/>
    <col min="2" max="2" width="32.42578125" bestFit="1" customWidth="1"/>
    <col min="3" max="3" width="63" bestFit="1" customWidth="1"/>
    <col min="4" max="4" width="13.28515625" bestFit="1" customWidth="1"/>
    <col min="5" max="5" width="8" bestFit="1" customWidth="1"/>
    <col min="6" max="7" width="40.7109375" style="1" customWidth="1"/>
    <col min="8" max="8" width="14.5703125" bestFit="1" customWidth="1"/>
    <col min="9" max="9" width="25.42578125" hidden="1" bestFit="1" customWidth="1"/>
    <col min="10" max="10" width="32.42578125" hidden="1" bestFit="1" customWidth="1"/>
    <col min="11" max="16384" width="0" hidden="1" customWidth="1"/>
  </cols>
  <sheetData>
    <row r="1" spans="1:10">
      <c r="A1" s="2" t="s">
        <v>40</v>
      </c>
      <c r="B1" s="2" t="s">
        <v>41</v>
      </c>
      <c r="C1" s="2" t="s">
        <v>42</v>
      </c>
      <c r="D1" s="2" t="s">
        <v>33</v>
      </c>
      <c r="E1" s="2" t="s">
        <v>34</v>
      </c>
      <c r="F1" s="2" t="s">
        <v>35</v>
      </c>
      <c r="G1" s="2" t="s">
        <v>36</v>
      </c>
      <c r="H1" s="2" t="s">
        <v>37</v>
      </c>
      <c r="I1" s="2" t="s">
        <v>38</v>
      </c>
      <c r="J1" s="2" t="s">
        <v>39</v>
      </c>
    </row>
    <row r="2" spans="1:10">
      <c r="A2" s="2" t="s">
        <v>9</v>
      </c>
      <c r="B2" s="2" t="s">
        <v>16</v>
      </c>
      <c r="C2" s="2" t="s">
        <v>43</v>
      </c>
      <c r="D2" s="3" t="s">
        <v>182</v>
      </c>
      <c r="E2">
        <v>0</v>
      </c>
      <c r="G2" s="1" t="s">
        <v>387</v>
      </c>
      <c r="H2">
        <f>E2*VALUE(LEFT(G2, FIND(":", G2)-1))</f>
        <v>0</v>
      </c>
      <c r="I2" t="s">
        <v>9</v>
      </c>
      <c r="J2" t="s">
        <v>16</v>
      </c>
    </row>
    <row r="3" spans="1:10">
      <c r="A3" s="2"/>
      <c r="B3" s="2"/>
      <c r="C3" s="2" t="s">
        <v>44</v>
      </c>
      <c r="D3" s="3" t="s">
        <v>183</v>
      </c>
      <c r="E3">
        <v>0</v>
      </c>
      <c r="G3" s="1" t="s">
        <v>387</v>
      </c>
      <c r="H3">
        <f>E3*VALUE(LEFT(G3, FIND(":", G3)-1))</f>
        <v>0</v>
      </c>
      <c r="I3" t="s">
        <v>9</v>
      </c>
      <c r="J3" t="s">
        <v>16</v>
      </c>
    </row>
    <row r="4" spans="1:10">
      <c r="A4" s="2"/>
      <c r="B4" s="2"/>
      <c r="C4" s="2" t="s">
        <v>45</v>
      </c>
      <c r="D4" s="3" t="s">
        <v>184</v>
      </c>
      <c r="E4">
        <v>0</v>
      </c>
      <c r="G4" s="1" t="s">
        <v>387</v>
      </c>
      <c r="H4">
        <f>E4*VALUE(LEFT(G4, FIND(":", G4)-1))</f>
        <v>0</v>
      </c>
      <c r="I4" t="s">
        <v>9</v>
      </c>
      <c r="J4" t="s">
        <v>16</v>
      </c>
    </row>
    <row r="5" spans="1:10">
      <c r="A5" s="2"/>
      <c r="B5" s="2"/>
      <c r="C5" s="2" t="s">
        <v>46</v>
      </c>
      <c r="D5" s="3" t="s">
        <v>185</v>
      </c>
      <c r="E5">
        <v>1</v>
      </c>
      <c r="G5" s="1" t="s">
        <v>388</v>
      </c>
      <c r="H5">
        <f>E5*VALUE(LEFT(G5, FIND(":", G5)-1))</f>
        <v>0</v>
      </c>
      <c r="I5" t="s">
        <v>9</v>
      </c>
      <c r="J5" t="s">
        <v>16</v>
      </c>
    </row>
    <row r="6" spans="1:10">
      <c r="A6" s="2"/>
      <c r="B6" s="2"/>
      <c r="C6" s="2" t="s">
        <v>47</v>
      </c>
      <c r="D6" s="3" t="s">
        <v>186</v>
      </c>
      <c r="E6">
        <v>0</v>
      </c>
      <c r="G6" s="1" t="s">
        <v>387</v>
      </c>
      <c r="H6">
        <f>E6*VALUE(LEFT(G6, FIND(":", G6)-1))</f>
        <v>0</v>
      </c>
      <c r="I6" t="s">
        <v>9</v>
      </c>
      <c r="J6" t="s">
        <v>16</v>
      </c>
    </row>
    <row r="7" spans="1:10">
      <c r="A7" s="2"/>
      <c r="B7" s="2"/>
      <c r="C7" s="2" t="s">
        <v>48</v>
      </c>
      <c r="D7" s="3" t="s">
        <v>187</v>
      </c>
      <c r="E7">
        <v>1</v>
      </c>
      <c r="F7" s="1" t="s">
        <v>321</v>
      </c>
      <c r="G7" s="1" t="s">
        <v>389</v>
      </c>
      <c r="H7">
        <f>E7*VALUE(LEFT(G7, FIND(":", G7)-1))</f>
        <v>0</v>
      </c>
      <c r="I7" t="s">
        <v>9</v>
      </c>
      <c r="J7" t="s">
        <v>16</v>
      </c>
    </row>
    <row r="8" spans="1:10">
      <c r="A8" s="2"/>
      <c r="B8" s="2"/>
      <c r="C8" s="2" t="s">
        <v>49</v>
      </c>
      <c r="D8" s="3" t="s">
        <v>188</v>
      </c>
      <c r="E8">
        <v>1</v>
      </c>
      <c r="F8" s="1" t="s">
        <v>322</v>
      </c>
      <c r="G8" s="1" t="s">
        <v>389</v>
      </c>
      <c r="H8">
        <f>E8*VALUE(LEFT(G8, FIND(":", G8)-1))</f>
        <v>0</v>
      </c>
      <c r="I8" t="s">
        <v>9</v>
      </c>
      <c r="J8" t="s">
        <v>16</v>
      </c>
    </row>
    <row r="9" spans="1:10">
      <c r="A9" s="2"/>
      <c r="B9" s="2"/>
      <c r="C9" s="2" t="s">
        <v>50</v>
      </c>
      <c r="D9" s="3" t="s">
        <v>189</v>
      </c>
      <c r="E9">
        <v>0</v>
      </c>
      <c r="G9" s="1" t="s">
        <v>387</v>
      </c>
      <c r="H9">
        <f>E9*VALUE(LEFT(G9, FIND(":", G9)-1))</f>
        <v>0</v>
      </c>
      <c r="I9" t="s">
        <v>9</v>
      </c>
      <c r="J9" t="s">
        <v>16</v>
      </c>
    </row>
    <row r="10" spans="1:10">
      <c r="A10" s="2"/>
      <c r="B10" s="2"/>
      <c r="C10" s="2" t="s">
        <v>51</v>
      </c>
      <c r="D10" s="3" t="s">
        <v>190</v>
      </c>
      <c r="E10">
        <v>1</v>
      </c>
      <c r="G10" s="1" t="s">
        <v>388</v>
      </c>
      <c r="H10">
        <f>E10*VALUE(LEFT(G10, FIND(":", G10)-1))</f>
        <v>0</v>
      </c>
      <c r="I10" t="s">
        <v>9</v>
      </c>
      <c r="J10" t="s">
        <v>16</v>
      </c>
    </row>
    <row r="11" spans="1:10">
      <c r="A11" s="2"/>
      <c r="B11" s="2" t="s">
        <v>11</v>
      </c>
      <c r="C11" s="2" t="s">
        <v>52</v>
      </c>
      <c r="D11" s="3" t="s">
        <v>191</v>
      </c>
      <c r="E11">
        <v>1</v>
      </c>
      <c r="F11" s="1" t="s">
        <v>323</v>
      </c>
      <c r="G11" s="1" t="s">
        <v>389</v>
      </c>
      <c r="H11">
        <f>E11*VALUE(LEFT(G11, FIND(":", G11)-1))</f>
        <v>0</v>
      </c>
      <c r="I11" t="s">
        <v>9</v>
      </c>
      <c r="J11" t="s">
        <v>11</v>
      </c>
    </row>
    <row r="12" spans="1:10">
      <c r="A12" s="2"/>
      <c r="B12" s="2"/>
      <c r="C12" s="2" t="s">
        <v>53</v>
      </c>
      <c r="D12" s="3" t="s">
        <v>192</v>
      </c>
      <c r="E12">
        <v>1</v>
      </c>
      <c r="F12" s="1" t="s">
        <v>324</v>
      </c>
      <c r="G12" s="1" t="s">
        <v>390</v>
      </c>
      <c r="H12">
        <f>E12*VALUE(LEFT(G12, FIND(":", G12)-1))</f>
        <v>0</v>
      </c>
      <c r="I12" t="s">
        <v>9</v>
      </c>
      <c r="J12" t="s">
        <v>11</v>
      </c>
    </row>
    <row r="13" spans="1:10">
      <c r="A13" s="2"/>
      <c r="B13" s="2"/>
      <c r="C13" s="2" t="s">
        <v>54</v>
      </c>
      <c r="D13" s="3" t="s">
        <v>193</v>
      </c>
      <c r="E13">
        <v>1</v>
      </c>
      <c r="F13" s="1" t="s">
        <v>325</v>
      </c>
      <c r="G13" s="1" t="s">
        <v>389</v>
      </c>
      <c r="H13">
        <f>E13*VALUE(LEFT(G13, FIND(":", G13)-1))</f>
        <v>0</v>
      </c>
      <c r="I13" t="s">
        <v>9</v>
      </c>
      <c r="J13" t="s">
        <v>11</v>
      </c>
    </row>
    <row r="14" spans="1:10">
      <c r="A14" s="2"/>
      <c r="B14" s="2"/>
      <c r="C14" s="2" t="s">
        <v>55</v>
      </c>
      <c r="D14" s="3" t="s">
        <v>194</v>
      </c>
      <c r="E14">
        <v>1</v>
      </c>
      <c r="F14" s="1" t="s">
        <v>326</v>
      </c>
      <c r="G14" s="1" t="s">
        <v>390</v>
      </c>
      <c r="H14">
        <f>E14*VALUE(LEFT(G14, FIND(":", G14)-1))</f>
        <v>0</v>
      </c>
      <c r="I14" t="s">
        <v>9</v>
      </c>
      <c r="J14" t="s">
        <v>11</v>
      </c>
    </row>
    <row r="15" spans="1:10">
      <c r="A15" s="2"/>
      <c r="B15" s="2"/>
      <c r="C15" s="2" t="s">
        <v>56</v>
      </c>
      <c r="D15" s="3" t="s">
        <v>195</v>
      </c>
      <c r="E15">
        <v>1</v>
      </c>
      <c r="F15" s="1" t="s">
        <v>327</v>
      </c>
      <c r="G15" s="1" t="s">
        <v>390</v>
      </c>
      <c r="H15">
        <f>E15*VALUE(LEFT(G15, FIND(":", G15)-1))</f>
        <v>0</v>
      </c>
      <c r="I15" t="s">
        <v>9</v>
      </c>
      <c r="J15" t="s">
        <v>11</v>
      </c>
    </row>
    <row r="16" spans="1:10">
      <c r="A16" s="2"/>
      <c r="B16" s="2"/>
      <c r="C16" s="2" t="s">
        <v>57</v>
      </c>
      <c r="D16" s="3" t="s">
        <v>196</v>
      </c>
      <c r="E16">
        <v>1</v>
      </c>
      <c r="F16" s="1" t="s">
        <v>328</v>
      </c>
      <c r="G16" s="1" t="s">
        <v>389</v>
      </c>
      <c r="H16">
        <f>E16*VALUE(LEFT(G16, FIND(":", G16)-1))</f>
        <v>0</v>
      </c>
      <c r="I16" t="s">
        <v>9</v>
      </c>
      <c r="J16" t="s">
        <v>11</v>
      </c>
    </row>
    <row r="17" spans="1:10">
      <c r="A17" s="2"/>
      <c r="B17" s="2"/>
      <c r="C17" s="2" t="s">
        <v>58</v>
      </c>
      <c r="D17" s="3" t="s">
        <v>197</v>
      </c>
      <c r="E17">
        <v>0</v>
      </c>
      <c r="G17" s="1" t="s">
        <v>387</v>
      </c>
      <c r="H17">
        <f>E17*VALUE(LEFT(G17, FIND(":", G17)-1))</f>
        <v>0</v>
      </c>
      <c r="I17" t="s">
        <v>9</v>
      </c>
      <c r="J17" t="s">
        <v>11</v>
      </c>
    </row>
    <row r="18" spans="1:10">
      <c r="A18" s="2"/>
      <c r="B18" s="2" t="s">
        <v>29</v>
      </c>
      <c r="C18" s="2" t="s">
        <v>59</v>
      </c>
      <c r="D18" s="3" t="s">
        <v>198</v>
      </c>
      <c r="E18">
        <v>0</v>
      </c>
      <c r="G18" s="1" t="s">
        <v>387</v>
      </c>
      <c r="H18">
        <f>E18*VALUE(LEFT(G18, FIND(":", G18)-1))</f>
        <v>0</v>
      </c>
      <c r="I18" t="s">
        <v>9</v>
      </c>
      <c r="J18" t="s">
        <v>29</v>
      </c>
    </row>
    <row r="19" spans="1:10">
      <c r="A19" s="2"/>
      <c r="B19" s="2"/>
      <c r="C19" s="2" t="s">
        <v>60</v>
      </c>
      <c r="D19" s="3" t="s">
        <v>199</v>
      </c>
      <c r="E19">
        <v>1</v>
      </c>
      <c r="F19" s="1" t="s">
        <v>329</v>
      </c>
      <c r="G19" s="1" t="s">
        <v>389</v>
      </c>
      <c r="H19">
        <f>E19*VALUE(LEFT(G19, FIND(":", G19)-1))</f>
        <v>0</v>
      </c>
      <c r="I19" t="s">
        <v>9</v>
      </c>
      <c r="J19" t="s">
        <v>29</v>
      </c>
    </row>
    <row r="20" spans="1:10">
      <c r="A20" s="2"/>
      <c r="B20" s="2"/>
      <c r="C20" s="2" t="s">
        <v>61</v>
      </c>
      <c r="D20" s="3" t="s">
        <v>200</v>
      </c>
      <c r="E20">
        <v>1</v>
      </c>
      <c r="F20" s="1" t="s">
        <v>330</v>
      </c>
      <c r="G20" s="1" t="s">
        <v>389</v>
      </c>
      <c r="H20">
        <f>E20*VALUE(LEFT(G20, FIND(":", G20)-1))</f>
        <v>0</v>
      </c>
      <c r="I20" t="s">
        <v>9</v>
      </c>
      <c r="J20" t="s">
        <v>29</v>
      </c>
    </row>
    <row r="21" spans="1:10">
      <c r="A21" s="2"/>
      <c r="B21" s="2"/>
      <c r="C21" s="2" t="s">
        <v>62</v>
      </c>
      <c r="D21" s="3" t="s">
        <v>201</v>
      </c>
      <c r="E21">
        <v>0</v>
      </c>
      <c r="G21" s="1" t="s">
        <v>387</v>
      </c>
      <c r="H21">
        <f>E21*VALUE(LEFT(G21, FIND(":", G21)-1))</f>
        <v>0</v>
      </c>
      <c r="I21" t="s">
        <v>9</v>
      </c>
      <c r="J21" t="s">
        <v>29</v>
      </c>
    </row>
    <row r="22" spans="1:10">
      <c r="A22" s="2"/>
      <c r="B22" s="2"/>
      <c r="C22" s="2" t="s">
        <v>63</v>
      </c>
      <c r="D22" s="3" t="s">
        <v>202</v>
      </c>
      <c r="E22">
        <v>1</v>
      </c>
      <c r="G22" s="1" t="s">
        <v>391</v>
      </c>
      <c r="H22">
        <f>E22*VALUE(LEFT(G22, FIND(":", G22)-1))</f>
        <v>0</v>
      </c>
      <c r="I22" t="s">
        <v>9</v>
      </c>
      <c r="J22" t="s">
        <v>29</v>
      </c>
    </row>
    <row r="23" spans="1:10">
      <c r="A23" s="2"/>
      <c r="B23" s="2"/>
      <c r="C23" s="2" t="s">
        <v>64</v>
      </c>
      <c r="D23" s="3" t="s">
        <v>203</v>
      </c>
      <c r="E23">
        <v>0</v>
      </c>
      <c r="G23" s="1" t="s">
        <v>387</v>
      </c>
      <c r="H23">
        <f>E23*VALUE(LEFT(G23, FIND(":", G23)-1))</f>
        <v>0</v>
      </c>
      <c r="I23" t="s">
        <v>9</v>
      </c>
      <c r="J23" t="s">
        <v>29</v>
      </c>
    </row>
    <row r="24" spans="1:10">
      <c r="A24" s="2"/>
      <c r="B24" s="2"/>
      <c r="C24" s="2" t="s">
        <v>65</v>
      </c>
      <c r="D24" s="3" t="s">
        <v>204</v>
      </c>
      <c r="E24">
        <v>0</v>
      </c>
      <c r="G24" s="1" t="s">
        <v>387</v>
      </c>
      <c r="H24">
        <f>E24*VALUE(LEFT(G24, FIND(":", G24)-1))</f>
        <v>0</v>
      </c>
      <c r="I24" t="s">
        <v>9</v>
      </c>
      <c r="J24" t="s">
        <v>29</v>
      </c>
    </row>
    <row r="25" spans="1:10">
      <c r="A25" s="2"/>
      <c r="B25" s="2" t="s">
        <v>12</v>
      </c>
      <c r="C25" s="2" t="s">
        <v>66</v>
      </c>
      <c r="D25" s="3" t="s">
        <v>205</v>
      </c>
      <c r="E25">
        <v>1</v>
      </c>
      <c r="F25" s="1" t="s">
        <v>331</v>
      </c>
      <c r="G25" s="1" t="s">
        <v>389</v>
      </c>
      <c r="H25">
        <f>E25*VALUE(LEFT(G25, FIND(":", G25)-1))</f>
        <v>0</v>
      </c>
      <c r="I25" t="s">
        <v>9</v>
      </c>
      <c r="J25" t="s">
        <v>12</v>
      </c>
    </row>
    <row r="26" spans="1:10">
      <c r="A26" s="2"/>
      <c r="B26" s="2"/>
      <c r="C26" s="2" t="s">
        <v>67</v>
      </c>
      <c r="D26" s="3" t="s">
        <v>206</v>
      </c>
      <c r="E26">
        <v>1</v>
      </c>
      <c r="F26" s="1" t="s">
        <v>332</v>
      </c>
      <c r="G26" s="1" t="s">
        <v>389</v>
      </c>
      <c r="H26">
        <f>E26*VALUE(LEFT(G26, FIND(":", G26)-1))</f>
        <v>0</v>
      </c>
      <c r="I26" t="s">
        <v>9</v>
      </c>
      <c r="J26" t="s">
        <v>12</v>
      </c>
    </row>
    <row r="27" spans="1:10">
      <c r="A27" s="2"/>
      <c r="B27" s="2"/>
      <c r="C27" s="2" t="s">
        <v>68</v>
      </c>
      <c r="D27" s="3" t="s">
        <v>207</v>
      </c>
      <c r="E27">
        <v>1</v>
      </c>
      <c r="G27" s="1" t="s">
        <v>392</v>
      </c>
      <c r="H27">
        <f>E27*VALUE(LEFT(G27, FIND(":", G27)-1))</f>
        <v>0</v>
      </c>
      <c r="I27" t="s">
        <v>9</v>
      </c>
      <c r="J27" t="s">
        <v>12</v>
      </c>
    </row>
    <row r="28" spans="1:10">
      <c r="A28" s="2"/>
      <c r="B28" s="2"/>
      <c r="C28" s="2" t="s">
        <v>69</v>
      </c>
      <c r="D28" s="3" t="s">
        <v>208</v>
      </c>
      <c r="E28">
        <v>0</v>
      </c>
      <c r="G28" s="1" t="s">
        <v>387</v>
      </c>
      <c r="H28">
        <f>E28*VALUE(LEFT(G28, FIND(":", G28)-1))</f>
        <v>0</v>
      </c>
      <c r="I28" t="s">
        <v>9</v>
      </c>
      <c r="J28" t="s">
        <v>12</v>
      </c>
    </row>
    <row r="29" spans="1:10">
      <c r="A29" s="2"/>
      <c r="B29" s="2"/>
      <c r="C29" s="2" t="s">
        <v>70</v>
      </c>
      <c r="D29" s="3" t="s">
        <v>209</v>
      </c>
      <c r="E29">
        <v>0</v>
      </c>
      <c r="G29" s="1" t="s">
        <v>387</v>
      </c>
      <c r="H29">
        <f>E29*VALUE(LEFT(G29, FIND(":", G29)-1))</f>
        <v>0</v>
      </c>
      <c r="I29" t="s">
        <v>9</v>
      </c>
      <c r="J29" t="s">
        <v>12</v>
      </c>
    </row>
    <row r="30" spans="1:10">
      <c r="A30" s="2"/>
      <c r="B30" s="2"/>
      <c r="C30" s="2" t="s">
        <v>71</v>
      </c>
      <c r="D30" s="3" t="s">
        <v>210</v>
      </c>
      <c r="E30">
        <v>1</v>
      </c>
      <c r="F30" s="1" t="s">
        <v>333</v>
      </c>
      <c r="G30" s="1" t="s">
        <v>389</v>
      </c>
      <c r="H30">
        <f>E30*VALUE(LEFT(G30, FIND(":", G30)-1))</f>
        <v>0</v>
      </c>
      <c r="I30" t="s">
        <v>9</v>
      </c>
      <c r="J30" t="s">
        <v>12</v>
      </c>
    </row>
    <row r="31" spans="1:10">
      <c r="A31" s="2"/>
      <c r="B31" s="2"/>
      <c r="C31" s="2" t="s">
        <v>72</v>
      </c>
      <c r="D31" s="3" t="s">
        <v>211</v>
      </c>
      <c r="E31">
        <v>0</v>
      </c>
      <c r="G31" s="1" t="s">
        <v>387</v>
      </c>
      <c r="H31">
        <f>E31*VALUE(LEFT(G31, FIND(":", G31)-1))</f>
        <v>0</v>
      </c>
      <c r="I31" t="s">
        <v>9</v>
      </c>
      <c r="J31" t="s">
        <v>12</v>
      </c>
    </row>
    <row r="32" spans="1:10">
      <c r="A32" s="2" t="s">
        <v>8</v>
      </c>
      <c r="B32" s="2" t="s">
        <v>27</v>
      </c>
      <c r="C32" s="2" t="s">
        <v>73</v>
      </c>
      <c r="D32" s="3" t="s">
        <v>212</v>
      </c>
      <c r="E32">
        <v>1</v>
      </c>
      <c r="F32" s="1" t="s">
        <v>334</v>
      </c>
      <c r="G32" s="1" t="s">
        <v>389</v>
      </c>
      <c r="H32">
        <f>E32*VALUE(LEFT(G32, FIND(":", G32)-1))</f>
        <v>0</v>
      </c>
      <c r="I32" t="s">
        <v>8</v>
      </c>
      <c r="J32" t="s">
        <v>27</v>
      </c>
    </row>
    <row r="33" spans="1:10">
      <c r="A33" s="2"/>
      <c r="B33" s="2"/>
      <c r="C33" s="2" t="s">
        <v>74</v>
      </c>
      <c r="D33" s="3" t="s">
        <v>213</v>
      </c>
      <c r="E33">
        <v>1</v>
      </c>
      <c r="F33" s="1" t="s">
        <v>335</v>
      </c>
      <c r="G33" s="1" t="s">
        <v>389</v>
      </c>
      <c r="H33">
        <f>E33*VALUE(LEFT(G33, FIND(":", G33)-1))</f>
        <v>0</v>
      </c>
      <c r="I33" t="s">
        <v>8</v>
      </c>
      <c r="J33" t="s">
        <v>27</v>
      </c>
    </row>
    <row r="34" spans="1:10">
      <c r="A34" s="2"/>
      <c r="B34" s="2"/>
      <c r="C34" s="2" t="s">
        <v>75</v>
      </c>
      <c r="D34" s="3" t="s">
        <v>214</v>
      </c>
      <c r="E34">
        <v>1</v>
      </c>
      <c r="F34" s="1" t="s">
        <v>336</v>
      </c>
      <c r="G34" s="1" t="s">
        <v>389</v>
      </c>
      <c r="H34">
        <f>E34*VALUE(LEFT(G34, FIND(":", G34)-1))</f>
        <v>0</v>
      </c>
      <c r="I34" t="s">
        <v>8</v>
      </c>
      <c r="J34" t="s">
        <v>27</v>
      </c>
    </row>
    <row r="35" spans="1:10">
      <c r="A35" s="2"/>
      <c r="B35" s="2"/>
      <c r="C35" s="2" t="s">
        <v>76</v>
      </c>
      <c r="D35" s="3" t="s">
        <v>215</v>
      </c>
      <c r="E35">
        <v>1</v>
      </c>
      <c r="F35" s="1" t="s">
        <v>337</v>
      </c>
      <c r="G35" s="1" t="s">
        <v>389</v>
      </c>
      <c r="H35">
        <f>E35*VALUE(LEFT(G35, FIND(":", G35)-1))</f>
        <v>0</v>
      </c>
      <c r="I35" t="s">
        <v>8</v>
      </c>
      <c r="J35" t="s">
        <v>27</v>
      </c>
    </row>
    <row r="36" spans="1:10">
      <c r="A36" s="2"/>
      <c r="B36" s="2"/>
      <c r="C36" s="2" t="s">
        <v>77</v>
      </c>
      <c r="D36" s="3" t="s">
        <v>216</v>
      </c>
      <c r="E36">
        <v>1</v>
      </c>
      <c r="F36" s="1" t="s">
        <v>338</v>
      </c>
      <c r="G36" s="1" t="s">
        <v>389</v>
      </c>
      <c r="H36">
        <f>E36*VALUE(LEFT(G36, FIND(":", G36)-1))</f>
        <v>0</v>
      </c>
      <c r="I36" t="s">
        <v>8</v>
      </c>
      <c r="J36" t="s">
        <v>27</v>
      </c>
    </row>
    <row r="37" spans="1:10">
      <c r="A37" s="2"/>
      <c r="B37" s="2"/>
      <c r="C37" s="2" t="s">
        <v>78</v>
      </c>
      <c r="D37" s="3" t="s">
        <v>217</v>
      </c>
      <c r="E37">
        <v>1</v>
      </c>
      <c r="G37" s="1" t="s">
        <v>390</v>
      </c>
      <c r="H37">
        <f>E37*VALUE(LEFT(G37, FIND(":", G37)-1))</f>
        <v>0</v>
      </c>
      <c r="I37" t="s">
        <v>8</v>
      </c>
      <c r="J37" t="s">
        <v>27</v>
      </c>
    </row>
    <row r="38" spans="1:10">
      <c r="A38" s="2"/>
      <c r="B38" s="2"/>
      <c r="C38" s="2" t="s">
        <v>79</v>
      </c>
      <c r="D38" s="3" t="s">
        <v>218</v>
      </c>
      <c r="E38">
        <v>1</v>
      </c>
      <c r="F38" s="1" t="s">
        <v>339</v>
      </c>
      <c r="G38" s="1" t="s">
        <v>389</v>
      </c>
      <c r="H38">
        <f>E38*VALUE(LEFT(G38, FIND(":", G38)-1))</f>
        <v>0</v>
      </c>
      <c r="I38" t="s">
        <v>8</v>
      </c>
      <c r="J38" t="s">
        <v>27</v>
      </c>
    </row>
    <row r="39" spans="1:10">
      <c r="A39" s="2"/>
      <c r="B39" s="2" t="s">
        <v>21</v>
      </c>
      <c r="C39" s="2" t="s">
        <v>80</v>
      </c>
      <c r="D39" s="3" t="s">
        <v>219</v>
      </c>
      <c r="E39">
        <v>0</v>
      </c>
      <c r="G39" s="1" t="s">
        <v>387</v>
      </c>
      <c r="H39">
        <f>E39*VALUE(LEFT(G39, FIND(":", G39)-1))</f>
        <v>0</v>
      </c>
      <c r="I39" t="s">
        <v>8</v>
      </c>
      <c r="J39" t="s">
        <v>21</v>
      </c>
    </row>
    <row r="40" spans="1:10">
      <c r="A40" s="2"/>
      <c r="B40" s="2"/>
      <c r="C40" s="2" t="s">
        <v>81</v>
      </c>
      <c r="D40" s="3" t="s">
        <v>220</v>
      </c>
      <c r="E40">
        <v>1</v>
      </c>
      <c r="F40" s="1" t="s">
        <v>340</v>
      </c>
      <c r="G40" s="1" t="s">
        <v>389</v>
      </c>
      <c r="H40">
        <f>E40*VALUE(LEFT(G40, FIND(":", G40)-1))</f>
        <v>0</v>
      </c>
      <c r="I40" t="s">
        <v>8</v>
      </c>
      <c r="J40" t="s">
        <v>21</v>
      </c>
    </row>
    <row r="41" spans="1:10">
      <c r="A41" s="2"/>
      <c r="B41" s="2"/>
      <c r="C41" s="2" t="s">
        <v>82</v>
      </c>
      <c r="D41" s="3" t="s">
        <v>221</v>
      </c>
      <c r="E41">
        <v>1</v>
      </c>
      <c r="G41" s="1" t="s">
        <v>387</v>
      </c>
      <c r="H41">
        <f>E41*VALUE(LEFT(G41, FIND(":", G41)-1))</f>
        <v>0</v>
      </c>
      <c r="I41" t="s">
        <v>8</v>
      </c>
      <c r="J41" t="s">
        <v>21</v>
      </c>
    </row>
    <row r="42" spans="1:10">
      <c r="A42" s="2"/>
      <c r="B42" s="2"/>
      <c r="C42" s="2" t="s">
        <v>83</v>
      </c>
      <c r="D42" s="3" t="s">
        <v>222</v>
      </c>
      <c r="E42">
        <v>1</v>
      </c>
      <c r="F42" s="1" t="s">
        <v>341</v>
      </c>
      <c r="G42" s="1" t="s">
        <v>390</v>
      </c>
      <c r="H42">
        <f>E42*VALUE(LEFT(G42, FIND(":", G42)-1))</f>
        <v>0</v>
      </c>
      <c r="I42" t="s">
        <v>8</v>
      </c>
      <c r="J42" t="s">
        <v>21</v>
      </c>
    </row>
    <row r="43" spans="1:10">
      <c r="A43" s="2"/>
      <c r="B43" s="2"/>
      <c r="C43" s="2" t="s">
        <v>84</v>
      </c>
      <c r="D43" s="3" t="s">
        <v>223</v>
      </c>
      <c r="E43">
        <v>1</v>
      </c>
      <c r="G43" s="1" t="s">
        <v>393</v>
      </c>
      <c r="H43">
        <f>E43*VALUE(LEFT(G43, FIND(":", G43)-1))</f>
        <v>0</v>
      </c>
      <c r="I43" t="s">
        <v>8</v>
      </c>
      <c r="J43" t="s">
        <v>21</v>
      </c>
    </row>
    <row r="44" spans="1:10">
      <c r="A44" s="2"/>
      <c r="B44" s="2"/>
      <c r="C44" s="2" t="s">
        <v>85</v>
      </c>
      <c r="D44" s="3" t="s">
        <v>224</v>
      </c>
      <c r="E44">
        <v>1</v>
      </c>
      <c r="F44" s="1" t="s">
        <v>342</v>
      </c>
      <c r="G44" s="1" t="s">
        <v>389</v>
      </c>
      <c r="H44">
        <f>E44*VALUE(LEFT(G44, FIND(":", G44)-1))</f>
        <v>0</v>
      </c>
      <c r="I44" t="s">
        <v>8</v>
      </c>
      <c r="J44" t="s">
        <v>21</v>
      </c>
    </row>
    <row r="45" spans="1:10">
      <c r="A45" s="2"/>
      <c r="B45" s="2" t="s">
        <v>15</v>
      </c>
      <c r="C45" s="2" t="s">
        <v>86</v>
      </c>
      <c r="D45" s="3" t="s">
        <v>225</v>
      </c>
      <c r="E45">
        <v>1</v>
      </c>
      <c r="G45" s="1" t="s">
        <v>394</v>
      </c>
      <c r="H45">
        <f>E45*VALUE(LEFT(G45, FIND(":", G45)-1))</f>
        <v>0</v>
      </c>
      <c r="I45" t="s">
        <v>8</v>
      </c>
      <c r="J45" t="s">
        <v>15</v>
      </c>
    </row>
    <row r="46" spans="1:10">
      <c r="A46" s="2"/>
      <c r="B46" s="2"/>
      <c r="C46" s="2" t="s">
        <v>87</v>
      </c>
      <c r="D46" s="3" t="s">
        <v>226</v>
      </c>
      <c r="E46">
        <v>1</v>
      </c>
      <c r="G46" s="1" t="s">
        <v>394</v>
      </c>
      <c r="H46">
        <f>E46*VALUE(LEFT(G46, FIND(":", G46)-1))</f>
        <v>0</v>
      </c>
      <c r="I46" t="s">
        <v>8</v>
      </c>
      <c r="J46" t="s">
        <v>15</v>
      </c>
    </row>
    <row r="47" spans="1:10">
      <c r="A47" s="2"/>
      <c r="B47" s="2"/>
      <c r="C47" s="2" t="s">
        <v>88</v>
      </c>
      <c r="D47" s="3" t="s">
        <v>227</v>
      </c>
      <c r="E47">
        <v>0</v>
      </c>
      <c r="G47" s="1" t="s">
        <v>387</v>
      </c>
      <c r="H47">
        <f>E47*VALUE(LEFT(G47, FIND(":", G47)-1))</f>
        <v>0</v>
      </c>
      <c r="I47" t="s">
        <v>8</v>
      </c>
      <c r="J47" t="s">
        <v>15</v>
      </c>
    </row>
    <row r="48" spans="1:10">
      <c r="A48" s="2"/>
      <c r="B48" s="2"/>
      <c r="C48" s="2" t="s">
        <v>89</v>
      </c>
      <c r="D48" s="3" t="s">
        <v>228</v>
      </c>
      <c r="E48">
        <v>0</v>
      </c>
      <c r="G48" s="1" t="s">
        <v>387</v>
      </c>
      <c r="H48">
        <f>E48*VALUE(LEFT(G48, FIND(":", G48)-1))</f>
        <v>0</v>
      </c>
      <c r="I48" t="s">
        <v>8</v>
      </c>
      <c r="J48" t="s">
        <v>15</v>
      </c>
    </row>
    <row r="49" spans="1:10">
      <c r="A49" s="2"/>
      <c r="B49" s="2"/>
      <c r="C49" s="2" t="s">
        <v>90</v>
      </c>
      <c r="D49" s="3" t="s">
        <v>229</v>
      </c>
      <c r="E49">
        <v>0</v>
      </c>
      <c r="G49" s="1" t="s">
        <v>387</v>
      </c>
      <c r="H49">
        <f>E49*VALUE(LEFT(G49, FIND(":", G49)-1))</f>
        <v>0</v>
      </c>
      <c r="I49" t="s">
        <v>8</v>
      </c>
      <c r="J49" t="s">
        <v>15</v>
      </c>
    </row>
    <row r="50" spans="1:10">
      <c r="A50" s="2"/>
      <c r="B50" s="2"/>
      <c r="C50" s="2" t="s">
        <v>91</v>
      </c>
      <c r="D50" s="3" t="s">
        <v>230</v>
      </c>
      <c r="E50">
        <v>0</v>
      </c>
      <c r="G50" s="1" t="s">
        <v>387</v>
      </c>
      <c r="H50">
        <f>E50*VALUE(LEFT(G50, FIND(":", G50)-1))</f>
        <v>0</v>
      </c>
      <c r="I50" t="s">
        <v>8</v>
      </c>
      <c r="J50" t="s">
        <v>15</v>
      </c>
    </row>
    <row r="51" spans="1:10">
      <c r="A51" s="2"/>
      <c r="B51" s="2" t="s">
        <v>25</v>
      </c>
      <c r="C51" s="2" t="s">
        <v>92</v>
      </c>
      <c r="D51" s="3" t="s">
        <v>231</v>
      </c>
      <c r="E51">
        <v>0</v>
      </c>
      <c r="G51" s="1" t="s">
        <v>387</v>
      </c>
      <c r="H51">
        <f>E51*VALUE(LEFT(G51, FIND(":", G51)-1))</f>
        <v>0</v>
      </c>
      <c r="I51" t="s">
        <v>8</v>
      </c>
      <c r="J51" t="s">
        <v>25</v>
      </c>
    </row>
    <row r="52" spans="1:10">
      <c r="A52" s="2"/>
      <c r="B52" s="2"/>
      <c r="C52" s="2" t="s">
        <v>93</v>
      </c>
      <c r="D52" s="3" t="s">
        <v>232</v>
      </c>
      <c r="E52">
        <v>0</v>
      </c>
      <c r="G52" s="1" t="s">
        <v>387</v>
      </c>
      <c r="H52">
        <f>E52*VALUE(LEFT(G52, FIND(":", G52)-1))</f>
        <v>0</v>
      </c>
      <c r="I52" t="s">
        <v>8</v>
      </c>
      <c r="J52" t="s">
        <v>25</v>
      </c>
    </row>
    <row r="53" spans="1:10">
      <c r="A53" s="2"/>
      <c r="B53" s="2"/>
      <c r="C53" s="2" t="s">
        <v>94</v>
      </c>
      <c r="D53" s="3" t="s">
        <v>233</v>
      </c>
      <c r="E53">
        <v>0</v>
      </c>
      <c r="G53" s="1" t="s">
        <v>387</v>
      </c>
      <c r="H53">
        <f>E53*VALUE(LEFT(G53, FIND(":", G53)-1))</f>
        <v>0</v>
      </c>
      <c r="I53" t="s">
        <v>8</v>
      </c>
      <c r="J53" t="s">
        <v>25</v>
      </c>
    </row>
    <row r="54" spans="1:10">
      <c r="A54" s="2"/>
      <c r="B54" s="2"/>
      <c r="C54" s="2" t="s">
        <v>95</v>
      </c>
      <c r="D54" s="3" t="s">
        <v>234</v>
      </c>
      <c r="E54">
        <v>0</v>
      </c>
      <c r="G54" s="1" t="s">
        <v>387</v>
      </c>
      <c r="H54">
        <f>E54*VALUE(LEFT(G54, FIND(":", G54)-1))</f>
        <v>0</v>
      </c>
      <c r="I54" t="s">
        <v>8</v>
      </c>
      <c r="J54" t="s">
        <v>25</v>
      </c>
    </row>
    <row r="55" spans="1:10">
      <c r="A55" s="2"/>
      <c r="B55" s="2"/>
      <c r="C55" s="2" t="s">
        <v>96</v>
      </c>
      <c r="D55" s="3" t="s">
        <v>235</v>
      </c>
      <c r="E55">
        <v>1</v>
      </c>
      <c r="G55" s="1" t="s">
        <v>395</v>
      </c>
      <c r="H55">
        <f>E55*VALUE(LEFT(G55, FIND(":", G55)-1))</f>
        <v>0</v>
      </c>
      <c r="I55" t="s">
        <v>8</v>
      </c>
      <c r="J55" t="s">
        <v>25</v>
      </c>
    </row>
    <row r="56" spans="1:10">
      <c r="A56" s="2"/>
      <c r="B56" s="2"/>
      <c r="C56" s="2" t="s">
        <v>97</v>
      </c>
      <c r="D56" s="3" t="s">
        <v>236</v>
      </c>
      <c r="E56">
        <v>0</v>
      </c>
      <c r="G56" s="1" t="s">
        <v>387</v>
      </c>
      <c r="H56">
        <f>E56*VALUE(LEFT(G56, FIND(":", G56)-1))</f>
        <v>0</v>
      </c>
      <c r="I56" t="s">
        <v>8</v>
      </c>
      <c r="J56" t="s">
        <v>25</v>
      </c>
    </row>
    <row r="57" spans="1:10">
      <c r="A57" s="2"/>
      <c r="B57" s="2" t="s">
        <v>31</v>
      </c>
      <c r="C57" s="2" t="s">
        <v>98</v>
      </c>
      <c r="D57" s="3" t="s">
        <v>237</v>
      </c>
      <c r="E57">
        <v>1</v>
      </c>
      <c r="F57" s="1" t="s">
        <v>343</v>
      </c>
      <c r="G57" s="1" t="s">
        <v>389</v>
      </c>
      <c r="H57">
        <f>E57*VALUE(LEFT(G57, FIND(":", G57)-1))</f>
        <v>0</v>
      </c>
      <c r="I57" t="s">
        <v>8</v>
      </c>
      <c r="J57" t="s">
        <v>31</v>
      </c>
    </row>
    <row r="58" spans="1:10">
      <c r="A58" s="2"/>
      <c r="B58" s="2"/>
      <c r="C58" s="2" t="s">
        <v>99</v>
      </c>
      <c r="D58" s="3" t="s">
        <v>238</v>
      </c>
      <c r="E58">
        <v>0</v>
      </c>
      <c r="G58" s="1" t="s">
        <v>387</v>
      </c>
      <c r="H58">
        <f>E58*VALUE(LEFT(G58, FIND(":", G58)-1))</f>
        <v>0</v>
      </c>
      <c r="I58" t="s">
        <v>8</v>
      </c>
      <c r="J58" t="s">
        <v>31</v>
      </c>
    </row>
    <row r="59" spans="1:10">
      <c r="A59" s="2"/>
      <c r="B59" s="2"/>
      <c r="C59" s="2" t="s">
        <v>100</v>
      </c>
      <c r="D59" s="3" t="s">
        <v>239</v>
      </c>
      <c r="E59">
        <v>0</v>
      </c>
      <c r="G59" s="1" t="s">
        <v>387</v>
      </c>
      <c r="H59">
        <f>E59*VALUE(LEFT(G59, FIND(":", G59)-1))</f>
        <v>0</v>
      </c>
      <c r="I59" t="s">
        <v>8</v>
      </c>
      <c r="J59" t="s">
        <v>31</v>
      </c>
    </row>
    <row r="60" spans="1:10">
      <c r="A60" s="2"/>
      <c r="B60" s="2"/>
      <c r="C60" s="2" t="s">
        <v>101</v>
      </c>
      <c r="D60" s="3" t="s">
        <v>240</v>
      </c>
      <c r="E60">
        <v>0</v>
      </c>
      <c r="G60" s="1" t="s">
        <v>387</v>
      </c>
      <c r="H60">
        <f>E60*VALUE(LEFT(G60, FIND(":", G60)-1))</f>
        <v>0</v>
      </c>
      <c r="I60" t="s">
        <v>8</v>
      </c>
      <c r="J60" t="s">
        <v>31</v>
      </c>
    </row>
    <row r="61" spans="1:10">
      <c r="A61" s="2"/>
      <c r="B61" s="2"/>
      <c r="C61" s="2" t="s">
        <v>102</v>
      </c>
      <c r="D61" s="3" t="s">
        <v>241</v>
      </c>
      <c r="E61">
        <v>0</v>
      </c>
      <c r="G61" s="1" t="s">
        <v>387</v>
      </c>
      <c r="H61">
        <f>E61*VALUE(LEFT(G61, FIND(":", G61)-1))</f>
        <v>0</v>
      </c>
      <c r="I61" t="s">
        <v>8</v>
      </c>
      <c r="J61" t="s">
        <v>31</v>
      </c>
    </row>
    <row r="62" spans="1:10">
      <c r="A62" s="2"/>
      <c r="B62" s="2"/>
      <c r="C62" s="2" t="s">
        <v>103</v>
      </c>
      <c r="D62" s="3" t="s">
        <v>242</v>
      </c>
      <c r="E62">
        <v>1</v>
      </c>
      <c r="G62" s="1" t="s">
        <v>387</v>
      </c>
      <c r="H62">
        <f>E62*VALUE(LEFT(G62, FIND(":", G62)-1))</f>
        <v>0</v>
      </c>
      <c r="I62" t="s">
        <v>8</v>
      </c>
      <c r="J62" t="s">
        <v>31</v>
      </c>
    </row>
    <row r="63" spans="1:10">
      <c r="A63" s="2" t="s">
        <v>7</v>
      </c>
      <c r="B63" s="2" t="s">
        <v>13</v>
      </c>
      <c r="C63" s="2" t="s">
        <v>104</v>
      </c>
      <c r="D63" s="3" t="s">
        <v>243</v>
      </c>
      <c r="E63">
        <v>1</v>
      </c>
      <c r="G63" s="1" t="s">
        <v>394</v>
      </c>
      <c r="H63">
        <f>E63*VALUE(LEFT(G63, FIND(":", G63)-1))</f>
        <v>0</v>
      </c>
      <c r="I63" t="s">
        <v>7</v>
      </c>
      <c r="J63" t="s">
        <v>13</v>
      </c>
    </row>
    <row r="64" spans="1:10">
      <c r="A64" s="2"/>
      <c r="B64" s="2"/>
      <c r="C64" s="2" t="s">
        <v>105</v>
      </c>
      <c r="D64" s="3" t="s">
        <v>244</v>
      </c>
      <c r="E64">
        <v>1</v>
      </c>
      <c r="F64" s="1" t="s">
        <v>344</v>
      </c>
      <c r="G64" s="1" t="s">
        <v>389</v>
      </c>
      <c r="H64">
        <f>E64*VALUE(LEFT(G64, FIND(":", G64)-1))</f>
        <v>0</v>
      </c>
      <c r="I64" t="s">
        <v>7</v>
      </c>
      <c r="J64" t="s">
        <v>13</v>
      </c>
    </row>
    <row r="65" spans="1:10">
      <c r="A65" s="2"/>
      <c r="B65" s="2"/>
      <c r="C65" s="2" t="s">
        <v>106</v>
      </c>
      <c r="D65" s="3" t="s">
        <v>245</v>
      </c>
      <c r="E65">
        <v>1</v>
      </c>
      <c r="G65" s="1" t="s">
        <v>396</v>
      </c>
      <c r="H65">
        <f>E65*VALUE(LEFT(G65, FIND(":", G65)-1))</f>
        <v>0</v>
      </c>
      <c r="I65" t="s">
        <v>7</v>
      </c>
      <c r="J65" t="s">
        <v>13</v>
      </c>
    </row>
    <row r="66" spans="1:10">
      <c r="A66" s="2"/>
      <c r="B66" s="2"/>
      <c r="C66" s="2" t="s">
        <v>107</v>
      </c>
      <c r="D66" s="3" t="s">
        <v>246</v>
      </c>
      <c r="E66">
        <v>0</v>
      </c>
      <c r="G66" s="1" t="s">
        <v>387</v>
      </c>
      <c r="H66">
        <f>E66*VALUE(LEFT(G66, FIND(":", G66)-1))</f>
        <v>0</v>
      </c>
      <c r="I66" t="s">
        <v>7</v>
      </c>
      <c r="J66" t="s">
        <v>13</v>
      </c>
    </row>
    <row r="67" spans="1:10">
      <c r="A67" s="2"/>
      <c r="B67" s="2"/>
      <c r="C67" s="2" t="s">
        <v>108</v>
      </c>
      <c r="D67" s="3" t="s">
        <v>247</v>
      </c>
      <c r="E67">
        <v>0</v>
      </c>
      <c r="G67" s="1" t="s">
        <v>387</v>
      </c>
      <c r="H67">
        <f>E67*VALUE(LEFT(G67, FIND(":", G67)-1))</f>
        <v>0</v>
      </c>
      <c r="I67" t="s">
        <v>7</v>
      </c>
      <c r="J67" t="s">
        <v>13</v>
      </c>
    </row>
    <row r="68" spans="1:10">
      <c r="A68" s="2"/>
      <c r="B68" s="2"/>
      <c r="C68" s="2" t="s">
        <v>109</v>
      </c>
      <c r="D68" s="3" t="s">
        <v>248</v>
      </c>
      <c r="E68">
        <v>0</v>
      </c>
      <c r="G68" s="1" t="s">
        <v>387</v>
      </c>
      <c r="H68">
        <f>E68*VALUE(LEFT(G68, FIND(":", G68)-1))</f>
        <v>0</v>
      </c>
      <c r="I68" t="s">
        <v>7</v>
      </c>
      <c r="J68" t="s">
        <v>13</v>
      </c>
    </row>
    <row r="69" spans="1:10">
      <c r="A69" s="2"/>
      <c r="B69" s="2"/>
      <c r="C69" s="2" t="s">
        <v>110</v>
      </c>
      <c r="D69" s="3" t="s">
        <v>249</v>
      </c>
      <c r="E69">
        <v>0</v>
      </c>
      <c r="G69" s="1" t="s">
        <v>387</v>
      </c>
      <c r="H69">
        <f>E69*VALUE(LEFT(G69, FIND(":", G69)-1))</f>
        <v>0</v>
      </c>
      <c r="I69" t="s">
        <v>7</v>
      </c>
      <c r="J69" t="s">
        <v>13</v>
      </c>
    </row>
    <row r="70" spans="1:10">
      <c r="A70" s="2"/>
      <c r="B70" s="2"/>
      <c r="C70" s="2" t="s">
        <v>111</v>
      </c>
      <c r="D70" s="3" t="s">
        <v>250</v>
      </c>
      <c r="E70">
        <v>0</v>
      </c>
      <c r="G70" s="1" t="s">
        <v>387</v>
      </c>
      <c r="H70">
        <f>E70*VALUE(LEFT(G70, FIND(":", G70)-1))</f>
        <v>0</v>
      </c>
      <c r="I70" t="s">
        <v>7</v>
      </c>
      <c r="J70" t="s">
        <v>13</v>
      </c>
    </row>
    <row r="71" spans="1:10">
      <c r="A71" s="2"/>
      <c r="B71" s="2"/>
      <c r="C71" s="2" t="s">
        <v>112</v>
      </c>
      <c r="D71" s="3" t="s">
        <v>251</v>
      </c>
      <c r="E71">
        <v>1</v>
      </c>
      <c r="F71" s="1" t="s">
        <v>345</v>
      </c>
      <c r="G71" s="1" t="s">
        <v>389</v>
      </c>
      <c r="H71">
        <f>E71*VALUE(LEFT(G71, FIND(":", G71)-1))</f>
        <v>0</v>
      </c>
      <c r="I71" t="s">
        <v>7</v>
      </c>
      <c r="J71" t="s">
        <v>13</v>
      </c>
    </row>
    <row r="72" spans="1:10">
      <c r="A72" s="2"/>
      <c r="B72" s="2"/>
      <c r="C72" s="2" t="s">
        <v>113</v>
      </c>
      <c r="D72" s="3" t="s">
        <v>252</v>
      </c>
      <c r="E72">
        <v>0</v>
      </c>
      <c r="G72" s="1" t="s">
        <v>387</v>
      </c>
      <c r="H72">
        <f>E72*VALUE(LEFT(G72, FIND(":", G72)-1))</f>
        <v>0</v>
      </c>
      <c r="I72" t="s">
        <v>7</v>
      </c>
      <c r="J72" t="s">
        <v>13</v>
      </c>
    </row>
    <row r="73" spans="1:10">
      <c r="A73" s="2"/>
      <c r="B73" s="2"/>
      <c r="C73" s="2" t="s">
        <v>114</v>
      </c>
      <c r="D73" s="3" t="s">
        <v>253</v>
      </c>
      <c r="E73">
        <v>0</v>
      </c>
      <c r="G73" s="1" t="s">
        <v>387</v>
      </c>
      <c r="H73">
        <f>E73*VALUE(LEFT(G73, FIND(":", G73)-1))</f>
        <v>0</v>
      </c>
      <c r="I73" t="s">
        <v>7</v>
      </c>
      <c r="J73" t="s">
        <v>13</v>
      </c>
    </row>
    <row r="74" spans="1:10">
      <c r="A74" s="2"/>
      <c r="B74" s="2"/>
      <c r="C74" s="2" t="s">
        <v>115</v>
      </c>
      <c r="D74" s="3" t="s">
        <v>254</v>
      </c>
      <c r="E74">
        <v>0</v>
      </c>
      <c r="G74" s="1" t="s">
        <v>387</v>
      </c>
      <c r="H74">
        <f>E74*VALUE(LEFT(G74, FIND(":", G74)-1))</f>
        <v>0</v>
      </c>
      <c r="I74" t="s">
        <v>7</v>
      </c>
      <c r="J74" t="s">
        <v>13</v>
      </c>
    </row>
    <row r="75" spans="1:10">
      <c r="A75" s="2"/>
      <c r="B75" s="2" t="s">
        <v>32</v>
      </c>
      <c r="C75" s="2" t="s">
        <v>116</v>
      </c>
      <c r="D75" s="3" t="s">
        <v>255</v>
      </c>
      <c r="E75">
        <v>0</v>
      </c>
      <c r="G75" s="1" t="s">
        <v>387</v>
      </c>
      <c r="H75">
        <f>E75*VALUE(LEFT(G75, FIND(":", G75)-1))</f>
        <v>0</v>
      </c>
      <c r="I75" t="s">
        <v>7</v>
      </c>
      <c r="J75" t="s">
        <v>32</v>
      </c>
    </row>
    <row r="76" spans="1:10">
      <c r="A76" s="2"/>
      <c r="B76" s="2"/>
      <c r="C76" s="2" t="s">
        <v>117</v>
      </c>
      <c r="D76" s="3" t="s">
        <v>256</v>
      </c>
      <c r="E76">
        <v>1</v>
      </c>
      <c r="G76" s="1" t="s">
        <v>397</v>
      </c>
      <c r="H76">
        <f>E76*VALUE(LEFT(G76, FIND(":", G76)-1))</f>
        <v>0</v>
      </c>
      <c r="I76" t="s">
        <v>7</v>
      </c>
      <c r="J76" t="s">
        <v>32</v>
      </c>
    </row>
    <row r="77" spans="1:10">
      <c r="A77" s="2"/>
      <c r="B77" s="2"/>
      <c r="C77" s="2" t="s">
        <v>118</v>
      </c>
      <c r="D77" s="3" t="s">
        <v>257</v>
      </c>
      <c r="E77">
        <v>1</v>
      </c>
      <c r="G77" s="1" t="s">
        <v>390</v>
      </c>
      <c r="H77">
        <f>E77*VALUE(LEFT(G77, FIND(":", G77)-1))</f>
        <v>0</v>
      </c>
      <c r="I77" t="s">
        <v>7</v>
      </c>
      <c r="J77" t="s">
        <v>32</v>
      </c>
    </row>
    <row r="78" spans="1:10">
      <c r="A78" s="2"/>
      <c r="B78" s="2"/>
      <c r="C78" s="2" t="s">
        <v>119</v>
      </c>
      <c r="D78" s="3" t="s">
        <v>258</v>
      </c>
      <c r="E78">
        <v>0</v>
      </c>
      <c r="G78" s="1" t="s">
        <v>387</v>
      </c>
      <c r="H78">
        <f>E78*VALUE(LEFT(G78, FIND(":", G78)-1))</f>
        <v>0</v>
      </c>
      <c r="I78" t="s">
        <v>7</v>
      </c>
      <c r="J78" t="s">
        <v>32</v>
      </c>
    </row>
    <row r="79" spans="1:10">
      <c r="A79" s="2"/>
      <c r="B79" s="2"/>
      <c r="C79" s="2" t="s">
        <v>120</v>
      </c>
      <c r="D79" s="3" t="s">
        <v>259</v>
      </c>
      <c r="E79">
        <v>0</v>
      </c>
      <c r="G79" s="1" t="s">
        <v>387</v>
      </c>
      <c r="H79">
        <f>E79*VALUE(LEFT(G79, FIND(":", G79)-1))</f>
        <v>0</v>
      </c>
      <c r="I79" t="s">
        <v>7</v>
      </c>
      <c r="J79" t="s">
        <v>32</v>
      </c>
    </row>
    <row r="80" spans="1:10">
      <c r="A80" s="2"/>
      <c r="B80" s="2"/>
      <c r="C80" s="2" t="s">
        <v>121</v>
      </c>
      <c r="D80" s="3" t="s">
        <v>260</v>
      </c>
      <c r="E80">
        <v>0</v>
      </c>
      <c r="G80" s="1" t="s">
        <v>387</v>
      </c>
      <c r="H80">
        <f>E80*VALUE(LEFT(G80, FIND(":", G80)-1))</f>
        <v>0</v>
      </c>
      <c r="I80" t="s">
        <v>7</v>
      </c>
      <c r="J80" t="s">
        <v>32</v>
      </c>
    </row>
    <row r="81" spans="1:10">
      <c r="A81" s="2"/>
      <c r="B81" s="2" t="s">
        <v>28</v>
      </c>
      <c r="C81" s="2" t="s">
        <v>122</v>
      </c>
      <c r="D81" s="3" t="s">
        <v>261</v>
      </c>
      <c r="E81">
        <v>1</v>
      </c>
      <c r="G81" s="1" t="s">
        <v>398</v>
      </c>
      <c r="H81">
        <f>E81*VALUE(LEFT(G81, FIND(":", G81)-1))</f>
        <v>0</v>
      </c>
      <c r="I81" t="s">
        <v>7</v>
      </c>
      <c r="J81" t="s">
        <v>28</v>
      </c>
    </row>
    <row r="82" spans="1:10">
      <c r="A82" s="2"/>
      <c r="B82" s="2"/>
      <c r="C82" s="2" t="s">
        <v>123</v>
      </c>
      <c r="D82" s="3" t="s">
        <v>262</v>
      </c>
      <c r="E82">
        <v>1</v>
      </c>
      <c r="G82" s="1" t="s">
        <v>398</v>
      </c>
      <c r="H82">
        <f>E82*VALUE(LEFT(G82, FIND(":", G82)-1))</f>
        <v>0</v>
      </c>
      <c r="I82" t="s">
        <v>7</v>
      </c>
      <c r="J82" t="s">
        <v>28</v>
      </c>
    </row>
    <row r="83" spans="1:10">
      <c r="A83" s="2"/>
      <c r="B83" s="2"/>
      <c r="C83" s="2" t="s">
        <v>124</v>
      </c>
      <c r="D83" s="3" t="s">
        <v>263</v>
      </c>
      <c r="E83">
        <v>0</v>
      </c>
      <c r="G83" s="1" t="s">
        <v>387</v>
      </c>
      <c r="H83">
        <f>E83*VALUE(LEFT(G83, FIND(":", G83)-1))</f>
        <v>0</v>
      </c>
      <c r="I83" t="s">
        <v>7</v>
      </c>
      <c r="J83" t="s">
        <v>28</v>
      </c>
    </row>
    <row r="84" spans="1:10">
      <c r="A84" s="2"/>
      <c r="B84" s="2"/>
      <c r="C84" s="2" t="s">
        <v>125</v>
      </c>
      <c r="D84" s="3" t="s">
        <v>264</v>
      </c>
      <c r="E84">
        <v>0</v>
      </c>
      <c r="G84" s="1" t="s">
        <v>387</v>
      </c>
      <c r="H84">
        <f>E84*VALUE(LEFT(G84, FIND(":", G84)-1))</f>
        <v>0</v>
      </c>
      <c r="I84" t="s">
        <v>7</v>
      </c>
      <c r="J84" t="s">
        <v>28</v>
      </c>
    </row>
    <row r="85" spans="1:10">
      <c r="A85" s="2"/>
      <c r="B85" s="2"/>
      <c r="C85" s="2" t="s">
        <v>126</v>
      </c>
      <c r="D85" s="3" t="s">
        <v>265</v>
      </c>
      <c r="E85">
        <v>0</v>
      </c>
      <c r="G85" s="1" t="s">
        <v>387</v>
      </c>
      <c r="H85">
        <f>E85*VALUE(LEFT(G85, FIND(":", G85)-1))</f>
        <v>0</v>
      </c>
      <c r="I85" t="s">
        <v>7</v>
      </c>
      <c r="J85" t="s">
        <v>28</v>
      </c>
    </row>
    <row r="86" spans="1:10">
      <c r="A86" s="2"/>
      <c r="B86" s="2"/>
      <c r="C86" s="2" t="s">
        <v>127</v>
      </c>
      <c r="D86" s="3" t="s">
        <v>266</v>
      </c>
      <c r="E86">
        <v>1</v>
      </c>
      <c r="F86" s="1" t="s">
        <v>346</v>
      </c>
      <c r="G86" s="1" t="s">
        <v>389</v>
      </c>
      <c r="H86">
        <f>E86*VALUE(LEFT(G86, FIND(":", G86)-1))</f>
        <v>0</v>
      </c>
      <c r="I86" t="s">
        <v>7</v>
      </c>
      <c r="J86" t="s">
        <v>28</v>
      </c>
    </row>
    <row r="87" spans="1:10">
      <c r="A87" s="2"/>
      <c r="B87" s="2" t="s">
        <v>26</v>
      </c>
      <c r="C87" s="2" t="s">
        <v>128</v>
      </c>
      <c r="D87" s="3" t="s">
        <v>267</v>
      </c>
      <c r="E87">
        <v>1</v>
      </c>
      <c r="G87" s="1" t="s">
        <v>390</v>
      </c>
      <c r="H87">
        <f>E87*VALUE(LEFT(G87, FIND(":", G87)-1))</f>
        <v>0</v>
      </c>
      <c r="I87" t="s">
        <v>7</v>
      </c>
      <c r="J87" t="s">
        <v>26</v>
      </c>
    </row>
    <row r="88" spans="1:10">
      <c r="A88" s="2"/>
      <c r="B88" s="2"/>
      <c r="C88" s="2" t="s">
        <v>129</v>
      </c>
      <c r="D88" s="3" t="s">
        <v>268</v>
      </c>
      <c r="E88">
        <v>0</v>
      </c>
      <c r="G88" s="1" t="s">
        <v>387</v>
      </c>
      <c r="H88">
        <f>E88*VALUE(LEFT(G88, FIND(":", G88)-1))</f>
        <v>0</v>
      </c>
      <c r="I88" t="s">
        <v>7</v>
      </c>
      <c r="J88" t="s">
        <v>26</v>
      </c>
    </row>
    <row r="89" spans="1:10">
      <c r="A89" s="2"/>
      <c r="B89" s="2"/>
      <c r="C89" s="2" t="s">
        <v>130</v>
      </c>
      <c r="D89" s="3" t="s">
        <v>269</v>
      </c>
      <c r="E89">
        <v>0</v>
      </c>
      <c r="G89" s="1" t="s">
        <v>387</v>
      </c>
      <c r="H89">
        <f>E89*VALUE(LEFT(G89, FIND(":", G89)-1))</f>
        <v>0</v>
      </c>
      <c r="I89" t="s">
        <v>7</v>
      </c>
      <c r="J89" t="s">
        <v>26</v>
      </c>
    </row>
    <row r="90" spans="1:10">
      <c r="A90" s="2"/>
      <c r="B90" s="2"/>
      <c r="C90" s="2" t="s">
        <v>131</v>
      </c>
      <c r="D90" s="3" t="s">
        <v>270</v>
      </c>
      <c r="E90">
        <v>1</v>
      </c>
      <c r="G90" s="1" t="s">
        <v>398</v>
      </c>
      <c r="H90">
        <f>E90*VALUE(LEFT(G90, FIND(":", G90)-1))</f>
        <v>0</v>
      </c>
      <c r="I90" t="s">
        <v>7</v>
      </c>
      <c r="J90" t="s">
        <v>26</v>
      </c>
    </row>
    <row r="91" spans="1:10">
      <c r="A91" s="2"/>
      <c r="B91" s="2"/>
      <c r="C91" s="2" t="s">
        <v>132</v>
      </c>
      <c r="D91" s="3" t="s">
        <v>271</v>
      </c>
      <c r="E91">
        <v>0</v>
      </c>
      <c r="G91" s="1" t="s">
        <v>387</v>
      </c>
      <c r="H91">
        <f>E91*VALUE(LEFT(G91, FIND(":", G91)-1))</f>
        <v>0</v>
      </c>
      <c r="I91" t="s">
        <v>7</v>
      </c>
      <c r="J91" t="s">
        <v>26</v>
      </c>
    </row>
    <row r="92" spans="1:10">
      <c r="A92" s="2"/>
      <c r="B92" s="2"/>
      <c r="C92" s="2" t="s">
        <v>133</v>
      </c>
      <c r="D92" s="3" t="s">
        <v>272</v>
      </c>
      <c r="E92">
        <v>0</v>
      </c>
      <c r="G92" s="1" t="s">
        <v>387</v>
      </c>
      <c r="H92">
        <f>E92*VALUE(LEFT(G92, FIND(":", G92)-1))</f>
        <v>0</v>
      </c>
      <c r="I92" t="s">
        <v>7</v>
      </c>
      <c r="J92" t="s">
        <v>26</v>
      </c>
    </row>
    <row r="93" spans="1:10">
      <c r="A93" s="2"/>
      <c r="B93" s="2" t="s">
        <v>30</v>
      </c>
      <c r="C93" s="2" t="s">
        <v>134</v>
      </c>
      <c r="D93" s="3" t="s">
        <v>273</v>
      </c>
      <c r="E93">
        <v>0</v>
      </c>
      <c r="G93" s="1" t="s">
        <v>387</v>
      </c>
      <c r="H93">
        <f>E93*VALUE(LEFT(G93, FIND(":", G93)-1))</f>
        <v>0</v>
      </c>
      <c r="I93" t="s">
        <v>7</v>
      </c>
      <c r="J93" t="s">
        <v>30</v>
      </c>
    </row>
    <row r="94" spans="1:10">
      <c r="A94" s="2"/>
      <c r="B94" s="2"/>
      <c r="C94" s="2" t="s">
        <v>135</v>
      </c>
      <c r="D94" s="3" t="s">
        <v>274</v>
      </c>
      <c r="E94">
        <v>0</v>
      </c>
      <c r="G94" s="1" t="s">
        <v>387</v>
      </c>
      <c r="H94">
        <f>E94*VALUE(LEFT(G94, FIND(":", G94)-1))</f>
        <v>0</v>
      </c>
      <c r="I94" t="s">
        <v>7</v>
      </c>
      <c r="J94" t="s">
        <v>30</v>
      </c>
    </row>
    <row r="95" spans="1:10">
      <c r="A95" s="2"/>
      <c r="B95" s="2"/>
      <c r="C95" s="2" t="s">
        <v>136</v>
      </c>
      <c r="D95" s="3" t="s">
        <v>275</v>
      </c>
      <c r="E95">
        <v>0</v>
      </c>
      <c r="G95" s="1" t="s">
        <v>387</v>
      </c>
      <c r="H95">
        <f>E95*VALUE(LEFT(G95, FIND(":", G95)-1))</f>
        <v>0</v>
      </c>
      <c r="I95" t="s">
        <v>7</v>
      </c>
      <c r="J95" t="s">
        <v>30</v>
      </c>
    </row>
    <row r="96" spans="1:10">
      <c r="A96" s="2"/>
      <c r="B96" s="2"/>
      <c r="C96" s="2" t="s">
        <v>137</v>
      </c>
      <c r="D96" s="3" t="s">
        <v>276</v>
      </c>
      <c r="E96">
        <v>0</v>
      </c>
      <c r="G96" s="1" t="s">
        <v>387</v>
      </c>
      <c r="H96">
        <f>E96*VALUE(LEFT(G96, FIND(":", G96)-1))</f>
        <v>0</v>
      </c>
      <c r="I96" t="s">
        <v>7</v>
      </c>
      <c r="J96" t="s">
        <v>30</v>
      </c>
    </row>
    <row r="97" spans="1:10">
      <c r="A97" s="2"/>
      <c r="B97" s="2"/>
      <c r="C97" s="2" t="s">
        <v>138</v>
      </c>
      <c r="D97" s="3" t="s">
        <v>277</v>
      </c>
      <c r="E97">
        <v>0</v>
      </c>
      <c r="G97" s="1" t="s">
        <v>387</v>
      </c>
      <c r="H97">
        <f>E97*VALUE(LEFT(G97, FIND(":", G97)-1))</f>
        <v>0</v>
      </c>
      <c r="I97" t="s">
        <v>7</v>
      </c>
      <c r="J97" t="s">
        <v>30</v>
      </c>
    </row>
    <row r="98" spans="1:10">
      <c r="A98" s="2"/>
      <c r="B98" s="2"/>
      <c r="C98" s="2" t="s">
        <v>139</v>
      </c>
      <c r="D98" s="3" t="s">
        <v>278</v>
      </c>
      <c r="E98">
        <v>0</v>
      </c>
      <c r="G98" s="1" t="s">
        <v>387</v>
      </c>
      <c r="H98">
        <f>E98*VALUE(LEFT(G98, FIND(":", G98)-1))</f>
        <v>0</v>
      </c>
      <c r="I98" t="s">
        <v>7</v>
      </c>
      <c r="J98" t="s">
        <v>30</v>
      </c>
    </row>
    <row r="99" spans="1:10">
      <c r="A99" s="2" t="s">
        <v>6</v>
      </c>
      <c r="B99" s="2" t="s">
        <v>17</v>
      </c>
      <c r="C99" s="2" t="s">
        <v>140</v>
      </c>
      <c r="D99" s="3" t="s">
        <v>279</v>
      </c>
      <c r="E99">
        <v>1</v>
      </c>
      <c r="G99" s="1" t="s">
        <v>399</v>
      </c>
      <c r="H99">
        <f>E99*VALUE(LEFT(G99, FIND(":", G99)-1))</f>
        <v>0</v>
      </c>
      <c r="I99" t="s">
        <v>6</v>
      </c>
      <c r="J99" t="s">
        <v>17</v>
      </c>
    </row>
    <row r="100" spans="1:10">
      <c r="A100" s="2"/>
      <c r="B100" s="2"/>
      <c r="C100" s="2" t="s">
        <v>141</v>
      </c>
      <c r="D100" s="3" t="s">
        <v>280</v>
      </c>
      <c r="E100">
        <v>1</v>
      </c>
      <c r="F100" s="1" t="s">
        <v>347</v>
      </c>
      <c r="G100" s="1" t="s">
        <v>389</v>
      </c>
      <c r="H100">
        <f>E100*VALUE(LEFT(G100, FIND(":", G100)-1))</f>
        <v>0</v>
      </c>
      <c r="I100" t="s">
        <v>6</v>
      </c>
      <c r="J100" t="s">
        <v>17</v>
      </c>
    </row>
    <row r="101" spans="1:10">
      <c r="A101" s="2"/>
      <c r="B101" s="2"/>
      <c r="C101" s="2" t="s">
        <v>142</v>
      </c>
      <c r="D101" s="3" t="s">
        <v>281</v>
      </c>
      <c r="E101">
        <v>1</v>
      </c>
      <c r="F101" s="1" t="s">
        <v>348</v>
      </c>
      <c r="G101" s="1" t="s">
        <v>389</v>
      </c>
      <c r="H101">
        <f>E101*VALUE(LEFT(G101, FIND(":", G101)-1))</f>
        <v>0</v>
      </c>
      <c r="I101" t="s">
        <v>6</v>
      </c>
      <c r="J101" t="s">
        <v>17</v>
      </c>
    </row>
    <row r="102" spans="1:10">
      <c r="A102" s="2"/>
      <c r="B102" s="2"/>
      <c r="C102" s="2" t="s">
        <v>143</v>
      </c>
      <c r="D102" s="3" t="s">
        <v>282</v>
      </c>
      <c r="E102">
        <v>1</v>
      </c>
      <c r="F102" s="1" t="s">
        <v>349</v>
      </c>
      <c r="G102" s="1" t="s">
        <v>389</v>
      </c>
      <c r="H102">
        <f>E102*VALUE(LEFT(G102, FIND(":", G102)-1))</f>
        <v>0</v>
      </c>
      <c r="I102" t="s">
        <v>6</v>
      </c>
      <c r="J102" t="s">
        <v>17</v>
      </c>
    </row>
    <row r="103" spans="1:10">
      <c r="A103" s="2"/>
      <c r="B103" s="2" t="s">
        <v>20</v>
      </c>
      <c r="C103" s="2" t="s">
        <v>144</v>
      </c>
      <c r="D103" s="3" t="s">
        <v>283</v>
      </c>
      <c r="E103">
        <v>1</v>
      </c>
      <c r="G103" s="1" t="s">
        <v>398</v>
      </c>
      <c r="H103">
        <f>E103*VALUE(LEFT(G103, FIND(":", G103)-1))</f>
        <v>0</v>
      </c>
      <c r="I103" t="s">
        <v>6</v>
      </c>
      <c r="J103" t="s">
        <v>20</v>
      </c>
    </row>
    <row r="104" spans="1:10">
      <c r="A104" s="2"/>
      <c r="B104" s="2"/>
      <c r="C104" s="2" t="s">
        <v>145</v>
      </c>
      <c r="D104" s="3" t="s">
        <v>284</v>
      </c>
      <c r="E104">
        <v>0</v>
      </c>
      <c r="G104" s="1" t="s">
        <v>387</v>
      </c>
      <c r="H104">
        <f>E104*VALUE(LEFT(G104, FIND(":", G104)-1))</f>
        <v>0</v>
      </c>
      <c r="I104" t="s">
        <v>6</v>
      </c>
      <c r="J104" t="s">
        <v>20</v>
      </c>
    </row>
    <row r="105" spans="1:10">
      <c r="A105" s="2"/>
      <c r="B105" s="2"/>
      <c r="C105" s="2" t="s">
        <v>146</v>
      </c>
      <c r="D105" s="3" t="s">
        <v>285</v>
      </c>
      <c r="E105">
        <v>0</v>
      </c>
      <c r="G105" s="1" t="s">
        <v>387</v>
      </c>
      <c r="H105">
        <f>E105*VALUE(LEFT(G105, FIND(":", G105)-1))</f>
        <v>0</v>
      </c>
      <c r="I105" t="s">
        <v>6</v>
      </c>
      <c r="J105" t="s">
        <v>20</v>
      </c>
    </row>
    <row r="106" spans="1:10">
      <c r="A106" s="2"/>
      <c r="B106" s="2"/>
      <c r="C106" s="2" t="s">
        <v>147</v>
      </c>
      <c r="D106" s="3" t="s">
        <v>286</v>
      </c>
      <c r="E106">
        <v>0</v>
      </c>
      <c r="G106" s="1" t="s">
        <v>387</v>
      </c>
      <c r="H106">
        <f>E106*VALUE(LEFT(G106, FIND(":", G106)-1))</f>
        <v>0</v>
      </c>
      <c r="I106" t="s">
        <v>6</v>
      </c>
      <c r="J106" t="s">
        <v>20</v>
      </c>
    </row>
    <row r="107" spans="1:10">
      <c r="A107" s="2"/>
      <c r="B107" s="2"/>
      <c r="C107" s="2" t="s">
        <v>148</v>
      </c>
      <c r="D107" s="3" t="s">
        <v>287</v>
      </c>
      <c r="E107">
        <v>0</v>
      </c>
      <c r="G107" s="1" t="s">
        <v>387</v>
      </c>
      <c r="H107">
        <f>E107*VALUE(LEFT(G107, FIND(":", G107)-1))</f>
        <v>0</v>
      </c>
      <c r="I107" t="s">
        <v>6</v>
      </c>
      <c r="J107" t="s">
        <v>20</v>
      </c>
    </row>
    <row r="108" spans="1:10">
      <c r="A108" s="2"/>
      <c r="B108" s="2"/>
      <c r="C108" s="2" t="s">
        <v>149</v>
      </c>
      <c r="D108" s="3" t="s">
        <v>288</v>
      </c>
      <c r="E108">
        <v>0</v>
      </c>
      <c r="G108" s="1" t="s">
        <v>387</v>
      </c>
      <c r="H108">
        <f>E108*VALUE(LEFT(G108, FIND(":", G108)-1))</f>
        <v>0</v>
      </c>
      <c r="I108" t="s">
        <v>6</v>
      </c>
      <c r="J108" t="s">
        <v>20</v>
      </c>
    </row>
    <row r="109" spans="1:10">
      <c r="A109" s="2"/>
      <c r="B109" s="2" t="s">
        <v>22</v>
      </c>
      <c r="C109" s="2" t="s">
        <v>150</v>
      </c>
      <c r="D109" s="3" t="s">
        <v>289</v>
      </c>
      <c r="E109">
        <v>0</v>
      </c>
      <c r="G109" s="1" t="s">
        <v>387</v>
      </c>
      <c r="H109">
        <f>E109*VALUE(LEFT(G109, FIND(":", G109)-1))</f>
        <v>0</v>
      </c>
      <c r="I109" t="s">
        <v>6</v>
      </c>
      <c r="J109" t="s">
        <v>22</v>
      </c>
    </row>
    <row r="110" spans="1:10">
      <c r="A110" s="2"/>
      <c r="B110" s="2"/>
      <c r="C110" s="2" t="s">
        <v>151</v>
      </c>
      <c r="D110" s="3" t="s">
        <v>290</v>
      </c>
      <c r="E110">
        <v>0</v>
      </c>
      <c r="G110" s="1" t="s">
        <v>387</v>
      </c>
      <c r="H110">
        <f>E110*VALUE(LEFT(G110, FIND(":", G110)-1))</f>
        <v>0</v>
      </c>
      <c r="I110" t="s">
        <v>6</v>
      </c>
      <c r="J110" t="s">
        <v>22</v>
      </c>
    </row>
    <row r="111" spans="1:10">
      <c r="A111" s="2"/>
      <c r="B111" s="2"/>
      <c r="C111" s="2" t="s">
        <v>152</v>
      </c>
      <c r="D111" s="3" t="s">
        <v>291</v>
      </c>
      <c r="E111">
        <v>0</v>
      </c>
      <c r="G111" s="1" t="s">
        <v>387</v>
      </c>
      <c r="H111">
        <f>E111*VALUE(LEFT(G111, FIND(":", G111)-1))</f>
        <v>0</v>
      </c>
      <c r="I111" t="s">
        <v>6</v>
      </c>
      <c r="J111" t="s">
        <v>22</v>
      </c>
    </row>
    <row r="112" spans="1:10">
      <c r="A112" s="2"/>
      <c r="B112" s="2"/>
      <c r="C112" s="2" t="s">
        <v>153</v>
      </c>
      <c r="D112" s="3" t="s">
        <v>292</v>
      </c>
      <c r="E112">
        <v>1</v>
      </c>
      <c r="G112" s="1" t="s">
        <v>400</v>
      </c>
      <c r="H112">
        <f>E112*VALUE(LEFT(G112, FIND(":", G112)-1))</f>
        <v>0</v>
      </c>
      <c r="I112" t="s">
        <v>6</v>
      </c>
      <c r="J112" t="s">
        <v>22</v>
      </c>
    </row>
    <row r="113" spans="1:10">
      <c r="A113" s="2"/>
      <c r="B113" s="2"/>
      <c r="C113" s="2" t="s">
        <v>154</v>
      </c>
      <c r="D113" s="3" t="s">
        <v>293</v>
      </c>
      <c r="E113">
        <v>0</v>
      </c>
      <c r="G113" s="1" t="s">
        <v>387</v>
      </c>
      <c r="H113">
        <f>E113*VALUE(LEFT(G113, FIND(":", G113)-1))</f>
        <v>0</v>
      </c>
      <c r="I113" t="s">
        <v>6</v>
      </c>
      <c r="J113" t="s">
        <v>22</v>
      </c>
    </row>
    <row r="114" spans="1:10">
      <c r="A114" s="2"/>
      <c r="B114" s="2" t="s">
        <v>19</v>
      </c>
      <c r="C114" s="2" t="s">
        <v>155</v>
      </c>
      <c r="D114" s="3" t="s">
        <v>294</v>
      </c>
      <c r="E114">
        <v>0</v>
      </c>
      <c r="G114" s="1" t="s">
        <v>387</v>
      </c>
      <c r="H114">
        <f>E114*VALUE(LEFT(G114, FIND(":", G114)-1))</f>
        <v>0</v>
      </c>
      <c r="I114" t="s">
        <v>6</v>
      </c>
      <c r="J114" t="s">
        <v>19</v>
      </c>
    </row>
    <row r="115" spans="1:10">
      <c r="A115" s="2"/>
      <c r="B115" s="2"/>
      <c r="C115" s="2" t="s">
        <v>156</v>
      </c>
      <c r="D115" s="3" t="s">
        <v>295</v>
      </c>
      <c r="E115">
        <v>0</v>
      </c>
      <c r="G115" s="1" t="s">
        <v>387</v>
      </c>
      <c r="H115">
        <f>E115*VALUE(LEFT(G115, FIND(":", G115)-1))</f>
        <v>0</v>
      </c>
      <c r="I115" t="s">
        <v>6</v>
      </c>
      <c r="J115" t="s">
        <v>19</v>
      </c>
    </row>
    <row r="116" spans="1:10">
      <c r="A116" s="2"/>
      <c r="B116" s="2"/>
      <c r="C116" s="2" t="s">
        <v>157</v>
      </c>
      <c r="D116" s="3" t="s">
        <v>296</v>
      </c>
      <c r="E116">
        <v>0</v>
      </c>
      <c r="G116" s="1" t="s">
        <v>387</v>
      </c>
      <c r="H116">
        <f>E116*VALUE(LEFT(G116, FIND(":", G116)-1))</f>
        <v>0</v>
      </c>
      <c r="I116" t="s">
        <v>6</v>
      </c>
      <c r="J116" t="s">
        <v>19</v>
      </c>
    </row>
    <row r="117" spans="1:10">
      <c r="A117" s="2"/>
      <c r="B117" s="2"/>
      <c r="C117" s="2" t="s">
        <v>158</v>
      </c>
      <c r="D117" s="3" t="s">
        <v>297</v>
      </c>
      <c r="E117">
        <v>1</v>
      </c>
      <c r="F117" s="1" t="s">
        <v>350</v>
      </c>
      <c r="G117" s="1" t="s">
        <v>389</v>
      </c>
      <c r="H117">
        <f>E117*VALUE(LEFT(G117, FIND(":", G117)-1))</f>
        <v>0</v>
      </c>
      <c r="I117" t="s">
        <v>6</v>
      </c>
      <c r="J117" t="s">
        <v>19</v>
      </c>
    </row>
    <row r="118" spans="1:10">
      <c r="A118" s="2"/>
      <c r="B118" s="2"/>
      <c r="C118" s="2" t="s">
        <v>159</v>
      </c>
      <c r="D118" s="3" t="s">
        <v>298</v>
      </c>
      <c r="E118">
        <v>0</v>
      </c>
      <c r="G118" s="1" t="s">
        <v>387</v>
      </c>
      <c r="H118">
        <f>E118*VALUE(LEFT(G118, FIND(":", G118)-1))</f>
        <v>0</v>
      </c>
      <c r="I118" t="s">
        <v>6</v>
      </c>
      <c r="J118" t="s">
        <v>19</v>
      </c>
    </row>
    <row r="119" spans="1:10">
      <c r="A119" s="2"/>
      <c r="B119" s="2" t="s">
        <v>24</v>
      </c>
      <c r="C119" s="2" t="s">
        <v>160</v>
      </c>
      <c r="D119" s="3" t="s">
        <v>299</v>
      </c>
      <c r="E119">
        <v>0</v>
      </c>
      <c r="G119" s="1" t="s">
        <v>387</v>
      </c>
      <c r="H119">
        <f>E119*VALUE(LEFT(G119, FIND(":", G119)-1))</f>
        <v>0</v>
      </c>
      <c r="I119" t="s">
        <v>6</v>
      </c>
      <c r="J119" t="s">
        <v>24</v>
      </c>
    </row>
    <row r="120" spans="1:10">
      <c r="A120" s="2"/>
      <c r="B120" s="2"/>
      <c r="C120" s="2" t="s">
        <v>161</v>
      </c>
      <c r="D120" s="3" t="s">
        <v>300</v>
      </c>
      <c r="E120">
        <v>0</v>
      </c>
      <c r="G120" s="1" t="s">
        <v>387</v>
      </c>
      <c r="H120">
        <f>E120*VALUE(LEFT(G120, FIND(":", G120)-1))</f>
        <v>0</v>
      </c>
      <c r="I120" t="s">
        <v>6</v>
      </c>
      <c r="J120" t="s">
        <v>24</v>
      </c>
    </row>
    <row r="121" spans="1:10">
      <c r="A121" s="2"/>
      <c r="B121" s="2"/>
      <c r="C121" s="2" t="s">
        <v>162</v>
      </c>
      <c r="D121" s="3" t="s">
        <v>301</v>
      </c>
      <c r="E121">
        <v>1</v>
      </c>
      <c r="G121" s="1" t="s">
        <v>398</v>
      </c>
      <c r="H121">
        <f>E121*VALUE(LEFT(G121, FIND(":", G121)-1))</f>
        <v>0</v>
      </c>
      <c r="I121" t="s">
        <v>6</v>
      </c>
      <c r="J121" t="s">
        <v>24</v>
      </c>
    </row>
    <row r="122" spans="1:10">
      <c r="A122" s="2"/>
      <c r="B122" s="2"/>
      <c r="C122" s="2" t="s">
        <v>163</v>
      </c>
      <c r="D122" s="3" t="s">
        <v>302</v>
      </c>
      <c r="E122">
        <v>0</v>
      </c>
      <c r="G122" s="1" t="s">
        <v>387</v>
      </c>
      <c r="H122">
        <f>E122*VALUE(LEFT(G122, FIND(":", G122)-1))</f>
        <v>0</v>
      </c>
      <c r="I122" t="s">
        <v>6</v>
      </c>
      <c r="J122" t="s">
        <v>24</v>
      </c>
    </row>
    <row r="123" spans="1:10">
      <c r="A123" s="2"/>
      <c r="B123" s="2"/>
      <c r="C123" s="2" t="s">
        <v>164</v>
      </c>
      <c r="D123" s="3" t="s">
        <v>303</v>
      </c>
      <c r="E123">
        <v>0</v>
      </c>
      <c r="G123" s="1" t="s">
        <v>387</v>
      </c>
      <c r="H123">
        <f>E123*VALUE(LEFT(G123, FIND(":", G123)-1))</f>
        <v>0</v>
      </c>
      <c r="I123" t="s">
        <v>6</v>
      </c>
      <c r="J123" t="s">
        <v>24</v>
      </c>
    </row>
    <row r="124" spans="1:10">
      <c r="A124" s="2"/>
      <c r="B124" s="2"/>
      <c r="C124" s="2" t="s">
        <v>165</v>
      </c>
      <c r="D124" s="3" t="s">
        <v>304</v>
      </c>
      <c r="E124">
        <v>1</v>
      </c>
      <c r="G124" s="1" t="s">
        <v>398</v>
      </c>
      <c r="H124">
        <f>E124*VALUE(LEFT(G124, FIND(":", G124)-1))</f>
        <v>0</v>
      </c>
      <c r="I124" t="s">
        <v>6</v>
      </c>
      <c r="J124" t="s">
        <v>24</v>
      </c>
    </row>
    <row r="125" spans="1:10">
      <c r="A125" s="2"/>
      <c r="B125" s="2" t="s">
        <v>18</v>
      </c>
      <c r="C125" s="2" t="s">
        <v>166</v>
      </c>
      <c r="D125" s="3" t="s">
        <v>305</v>
      </c>
      <c r="E125">
        <v>1</v>
      </c>
      <c r="F125" s="1" t="s">
        <v>351</v>
      </c>
      <c r="G125" s="1" t="s">
        <v>401</v>
      </c>
      <c r="H125">
        <f>E125*VALUE(LEFT(G125, FIND(":", G125)-1))</f>
        <v>0</v>
      </c>
      <c r="I125" t="s">
        <v>6</v>
      </c>
      <c r="J125" t="s">
        <v>18</v>
      </c>
    </row>
    <row r="126" spans="1:10">
      <c r="A126" s="2"/>
      <c r="B126" s="2"/>
      <c r="C126" s="2" t="s">
        <v>167</v>
      </c>
      <c r="D126" s="3" t="s">
        <v>306</v>
      </c>
      <c r="E126">
        <v>1</v>
      </c>
      <c r="F126" s="1" t="s">
        <v>352</v>
      </c>
      <c r="G126" s="1" t="s">
        <v>389</v>
      </c>
      <c r="H126">
        <f>E126*VALUE(LEFT(G126, FIND(":", G126)-1))</f>
        <v>0</v>
      </c>
      <c r="I126" t="s">
        <v>6</v>
      </c>
      <c r="J126" t="s">
        <v>18</v>
      </c>
    </row>
    <row r="127" spans="1:10">
      <c r="A127" s="2"/>
      <c r="B127" s="2"/>
      <c r="C127" s="2" t="s">
        <v>168</v>
      </c>
      <c r="D127" s="3" t="s">
        <v>307</v>
      </c>
      <c r="E127">
        <v>1</v>
      </c>
      <c r="F127" s="1" t="s">
        <v>353</v>
      </c>
      <c r="G127" s="1" t="s">
        <v>389</v>
      </c>
      <c r="H127">
        <f>E127*VALUE(LEFT(G127, FIND(":", G127)-1))</f>
        <v>0</v>
      </c>
      <c r="I127" t="s">
        <v>6</v>
      </c>
      <c r="J127" t="s">
        <v>18</v>
      </c>
    </row>
    <row r="128" spans="1:10">
      <c r="A128" s="2"/>
      <c r="B128" s="2"/>
      <c r="C128" s="2" t="s">
        <v>169</v>
      </c>
      <c r="D128" s="3" t="s">
        <v>308</v>
      </c>
      <c r="E128">
        <v>1</v>
      </c>
      <c r="F128" s="1" t="s">
        <v>354</v>
      </c>
      <c r="G128" s="1" t="s">
        <v>389</v>
      </c>
      <c r="H128">
        <f>E128*VALUE(LEFT(G128, FIND(":", G128)-1))</f>
        <v>0</v>
      </c>
      <c r="I128" t="s">
        <v>6</v>
      </c>
      <c r="J128" t="s">
        <v>18</v>
      </c>
    </row>
    <row r="129" spans="1:10">
      <c r="A129" s="2"/>
      <c r="B129" s="2"/>
      <c r="C129" s="2" t="s">
        <v>170</v>
      </c>
      <c r="D129" s="3" t="s">
        <v>309</v>
      </c>
      <c r="E129">
        <v>0</v>
      </c>
      <c r="F129" s="1" t="s">
        <v>355</v>
      </c>
      <c r="G129" s="1" t="s">
        <v>389</v>
      </c>
      <c r="H129">
        <f>E129*VALUE(LEFT(G129, FIND(":", G129)-1))</f>
        <v>0</v>
      </c>
      <c r="I129" t="s">
        <v>6</v>
      </c>
      <c r="J129" t="s">
        <v>18</v>
      </c>
    </row>
    <row r="130" spans="1:10">
      <c r="A130" s="2"/>
      <c r="B130" s="2" t="s">
        <v>14</v>
      </c>
      <c r="C130" s="2" t="s">
        <v>171</v>
      </c>
      <c r="D130" s="3" t="s">
        <v>310</v>
      </c>
      <c r="E130">
        <v>0</v>
      </c>
      <c r="G130" s="1" t="s">
        <v>387</v>
      </c>
      <c r="H130">
        <f>E130*VALUE(LEFT(G130, FIND(":", G130)-1))</f>
        <v>0</v>
      </c>
      <c r="I130" t="s">
        <v>6</v>
      </c>
      <c r="J130" t="s">
        <v>14</v>
      </c>
    </row>
    <row r="131" spans="1:10">
      <c r="A131" s="2"/>
      <c r="B131" s="2"/>
      <c r="C131" s="2" t="s">
        <v>172</v>
      </c>
      <c r="D131" s="3" t="s">
        <v>311</v>
      </c>
      <c r="E131">
        <v>1</v>
      </c>
      <c r="G131" s="1" t="s">
        <v>402</v>
      </c>
      <c r="H131">
        <f>E131*VALUE(LEFT(G131, FIND(":", G131)-1))</f>
        <v>0</v>
      </c>
      <c r="I131" t="s">
        <v>6</v>
      </c>
      <c r="J131" t="s">
        <v>14</v>
      </c>
    </row>
    <row r="132" spans="1:10">
      <c r="A132" s="2"/>
      <c r="B132" s="2"/>
      <c r="C132" s="2" t="s">
        <v>173</v>
      </c>
      <c r="D132" s="3" t="s">
        <v>312</v>
      </c>
      <c r="E132">
        <v>0</v>
      </c>
      <c r="G132" s="1" t="s">
        <v>387</v>
      </c>
      <c r="H132">
        <f>E132*VALUE(LEFT(G132, FIND(":", G132)-1))</f>
        <v>0</v>
      </c>
      <c r="I132" t="s">
        <v>6</v>
      </c>
      <c r="J132" t="s">
        <v>14</v>
      </c>
    </row>
    <row r="133" spans="1:10">
      <c r="A133" s="2"/>
      <c r="B133" s="2"/>
      <c r="C133" s="2" t="s">
        <v>174</v>
      </c>
      <c r="D133" s="3" t="s">
        <v>313</v>
      </c>
      <c r="E133">
        <v>1</v>
      </c>
      <c r="F133" s="1" t="s">
        <v>356</v>
      </c>
      <c r="G133" s="1" t="s">
        <v>389</v>
      </c>
      <c r="H133">
        <f>E133*VALUE(LEFT(G133, FIND(":", G133)-1))</f>
        <v>0</v>
      </c>
      <c r="I133" t="s">
        <v>6</v>
      </c>
      <c r="J133" t="s">
        <v>14</v>
      </c>
    </row>
    <row r="134" spans="1:10">
      <c r="A134" s="2"/>
      <c r="B134" s="2"/>
      <c r="C134" s="2" t="s">
        <v>175</v>
      </c>
      <c r="D134" s="3" t="s">
        <v>314</v>
      </c>
      <c r="E134">
        <v>0</v>
      </c>
      <c r="G134" s="1" t="s">
        <v>387</v>
      </c>
      <c r="H134">
        <f>E134*VALUE(LEFT(G134, FIND(":", G134)-1))</f>
        <v>0</v>
      </c>
      <c r="I134" t="s">
        <v>6</v>
      </c>
      <c r="J134" t="s">
        <v>14</v>
      </c>
    </row>
    <row r="135" spans="1:10">
      <c r="A135" s="2"/>
      <c r="B135" s="2" t="s">
        <v>23</v>
      </c>
      <c r="C135" s="2" t="s">
        <v>176</v>
      </c>
      <c r="D135" s="3" t="s">
        <v>315</v>
      </c>
      <c r="E135">
        <v>0</v>
      </c>
      <c r="G135" s="1" t="s">
        <v>387</v>
      </c>
      <c r="H135">
        <f>E135*VALUE(LEFT(G135, FIND(":", G135)-1))</f>
        <v>0</v>
      </c>
      <c r="I135" t="s">
        <v>6</v>
      </c>
      <c r="J135" t="s">
        <v>23</v>
      </c>
    </row>
    <row r="136" spans="1:10">
      <c r="A136" s="2"/>
      <c r="B136" s="2"/>
      <c r="C136" s="2" t="s">
        <v>177</v>
      </c>
      <c r="D136" s="3" t="s">
        <v>316</v>
      </c>
      <c r="E136">
        <v>0</v>
      </c>
      <c r="G136" s="1" t="s">
        <v>387</v>
      </c>
      <c r="H136">
        <f>E136*VALUE(LEFT(G136, FIND(":", G136)-1))</f>
        <v>0</v>
      </c>
      <c r="I136" t="s">
        <v>6</v>
      </c>
      <c r="J136" t="s">
        <v>23</v>
      </c>
    </row>
    <row r="137" spans="1:10">
      <c r="A137" s="2"/>
      <c r="B137" s="2"/>
      <c r="C137" s="2" t="s">
        <v>178</v>
      </c>
      <c r="D137" s="3" t="s">
        <v>317</v>
      </c>
      <c r="E137">
        <v>0</v>
      </c>
      <c r="G137" s="1" t="s">
        <v>387</v>
      </c>
      <c r="H137">
        <f>E137*VALUE(LEFT(G137, FIND(":", G137)-1))</f>
        <v>0</v>
      </c>
      <c r="I137" t="s">
        <v>6</v>
      </c>
      <c r="J137" t="s">
        <v>23</v>
      </c>
    </row>
    <row r="138" spans="1:10">
      <c r="A138" s="2"/>
      <c r="B138" s="2"/>
      <c r="C138" s="2" t="s">
        <v>179</v>
      </c>
      <c r="D138" s="3" t="s">
        <v>318</v>
      </c>
      <c r="E138">
        <v>0</v>
      </c>
      <c r="G138" s="1" t="s">
        <v>387</v>
      </c>
      <c r="H138">
        <f>E138*VALUE(LEFT(G138, FIND(":", G138)-1))</f>
        <v>0</v>
      </c>
      <c r="I138" t="s">
        <v>6</v>
      </c>
      <c r="J138" t="s">
        <v>23</v>
      </c>
    </row>
    <row r="139" spans="1:10">
      <c r="A139" s="2"/>
      <c r="B139" s="2"/>
      <c r="C139" s="2" t="s">
        <v>180</v>
      </c>
      <c r="D139" s="3" t="s">
        <v>319</v>
      </c>
      <c r="E139">
        <v>0</v>
      </c>
      <c r="G139" s="1" t="s">
        <v>387</v>
      </c>
      <c r="H139">
        <f>E139*VALUE(LEFT(G139, FIND(":", G139)-1))</f>
        <v>0</v>
      </c>
      <c r="I139" t="s">
        <v>6</v>
      </c>
      <c r="J139" t="s">
        <v>23</v>
      </c>
    </row>
    <row r="140" spans="1:10">
      <c r="A140" s="2"/>
      <c r="B140" s="2"/>
      <c r="C140" s="2" t="s">
        <v>181</v>
      </c>
      <c r="D140" s="3" t="s">
        <v>320</v>
      </c>
      <c r="E140">
        <v>0</v>
      </c>
      <c r="G140" s="1" t="s">
        <v>387</v>
      </c>
      <c r="H140">
        <f>E140*VALUE(LEFT(G140, FIND(":", G140)-1))</f>
        <v>0</v>
      </c>
      <c r="I140" t="s">
        <v>6</v>
      </c>
      <c r="J140" t="s">
        <v>23</v>
      </c>
    </row>
  </sheetData>
  <mergeCells count="26">
    <mergeCell ref="A2:A31"/>
    <mergeCell ref="A32:A62"/>
    <mergeCell ref="A63:A98"/>
    <mergeCell ref="A99:A140"/>
    <mergeCell ref="B2:B10"/>
    <mergeCell ref="B11:B17"/>
    <mergeCell ref="B18:B24"/>
    <mergeCell ref="B25:B31"/>
    <mergeCell ref="B32:B38"/>
    <mergeCell ref="B39:B44"/>
    <mergeCell ref="B45:B50"/>
    <mergeCell ref="B51:B56"/>
    <mergeCell ref="B57:B62"/>
    <mergeCell ref="B63:B74"/>
    <mergeCell ref="B75:B80"/>
    <mergeCell ref="B81:B86"/>
    <mergeCell ref="B87:B92"/>
    <mergeCell ref="B93:B98"/>
    <mergeCell ref="B99:B102"/>
    <mergeCell ref="B103:B108"/>
    <mergeCell ref="B109:B113"/>
    <mergeCell ref="B114:B118"/>
    <mergeCell ref="B119:B124"/>
    <mergeCell ref="B125:B129"/>
    <mergeCell ref="B130:B134"/>
    <mergeCell ref="B135:B140"/>
  </mergeCells>
  <dataValidations count="139">
    <dataValidation type="list" allowBlank="1" showInputMessage="1" showErrorMessage="1" sqref="G2">
      <formula1>"0: None"</formula1>
    </dataValidation>
    <dataValidation type="list" allowBlank="1" showInputMessage="1" showErrorMessage="1" sqref="G3">
      <formula1>"0: None"</formula1>
    </dataValidation>
    <dataValidation type="list" allowBlank="1" showInputMessage="1" showErrorMessage="1" sqref="G4">
      <formula1>"0: None"</formula1>
    </dataValidation>
    <dataValidation type="list" allowBlank="1" showInputMessage="1" showErrorMessage="1" sqref="G5">
      <formula1>"0: Never,1: Monthly or greater,2: More than a week,3: 7 days,4: 5 days,6: 2 days,8: 1 day,10: Instant"</formula1>
    </dataValidation>
    <dataValidation type="list" allowBlank="1" showInputMessage="1" showErrorMessage="1" sqref="G6">
      <formula1>"0: None"</formula1>
    </dataValidation>
    <dataValidation type="list" allowBlank="1" showInputMessage="1" showErrorMessage="1" sqref="G7">
      <formula1>"0: No items completed,2: 1 items completed,3: 2 items completed,5: 3 items completed,6: 4 items completed,8: 5 items completed,9: 6 items completed,10: 7 items completed"</formula1>
    </dataValidation>
    <dataValidation type="list" allowBlank="1" showInputMessage="1" showErrorMessage="1" sqref="G8">
      <formula1>"0: No items completed,2: 1 items completed,3: 2 items completed,5: 3 items completed,6: 4 items completed,8: 5 items completed,9: 6 items completed,10: 7 items completed"</formula1>
    </dataValidation>
    <dataValidation type="list" allowBlank="1" showInputMessage="1" showErrorMessage="1" sqref="G9">
      <formula1>"0: None"</formula1>
    </dataValidation>
    <dataValidation type="list" allowBlank="1" showInputMessage="1" showErrorMessage="1" sqref="G10">
      <formula1>"0: Never,1: Monthly or greater,2: More than a week,3: 7 days,4: 5 days,6: 2 days,8: 1 day,10: Instant"</formula1>
    </dataValidation>
    <dataValidation type="list" allowBlank="1" showInputMessage="1" showErrorMessage="1" sqref="G11">
      <formula1>"0: No items completed,5: 1 item completed,10: 2 items completed"</formula1>
    </dataValidation>
    <dataValidation type="list" allowBlank="1" showInputMessage="1" showErrorMessage="1" sqref="G12">
      <formula1>"0: 0%,1: 10%,2: 20%,3: 30%,4: 40%,5: 50%,6: 60%,7: 70%,8: 80% ,9: 90%,10: Near 100%"</formula1>
    </dataValidation>
    <dataValidation type="list" allowBlank="1" showInputMessage="1" showErrorMessage="1" sqref="G13">
      <formula1>"0: No items completed,5: 1 item  completed,10: 2 items completed"</formula1>
    </dataValidation>
    <dataValidation type="list" allowBlank="1" showInputMessage="1" showErrorMessage="1" sqref="G14">
      <formula1>"0: 0%,1: 10%,2: 20%,3: 30%,4: 40%,5: 50%,6: 60%,7: 70%,8: 80%,9: 90%,10: Near 100%"</formula1>
    </dataValidation>
    <dataValidation type="list" allowBlank="1" showInputMessage="1" showErrorMessage="1" sqref="G15">
      <formula1>"0: 0%,1: 10%,2: 20%,3: 30%,4: 40%,5: 50%,6: 60%,7: 70%,8: 80%,9: 90%,10: Near 100%"</formula1>
    </dataValidation>
    <dataValidation type="list" allowBlank="1" showInputMessage="1" showErrorMessage="1" sqref="G16">
      <formula1>"0: No items completed,3: 1 item completed,5: 2 items completed,8: 3 items completed,10: 4 items completed"</formula1>
    </dataValidation>
    <dataValidation type="list" allowBlank="1" showInputMessage="1" showErrorMessage="1" sqref="G17">
      <formula1>"0: None"</formula1>
    </dataValidation>
    <dataValidation type="list" allowBlank="1" showInputMessage="1" showErrorMessage="1" sqref="G18">
      <formula1>"0: None"</formula1>
    </dataValidation>
    <dataValidation type="list" allowBlank="1" showInputMessage="1" showErrorMessage="1" sqref="G19">
      <formula1>"0: No items completed,3: 1 item completed,5: 2 items completed,8: 3 items completed,10: 4 items completed"</formula1>
    </dataValidation>
    <dataValidation type="list" allowBlank="1" showInputMessage="1" showErrorMessage="1" sqref="G20">
      <formula1>"0: No items completed,3: 1 item completed,5: 2 items completed,8: 3 items completed,10: 4 items completed"</formula1>
    </dataValidation>
    <dataValidation type="list" allowBlank="1" showInputMessage="1" showErrorMessage="1" sqref="G21">
      <formula1>"0: None"</formula1>
    </dataValidation>
    <dataValidation type="list" allowBlank="1" showInputMessage="1" showErrorMessage="1" sqref="G22">
      <formula1>"0: No alerting in workflow tools,1: Alerting in at least one tool,3: Alerting in some tooling [&gt;20%],6: Alerting in most tooling [&gt;60%],10: Alerting in all workflow tools [100%]"</formula1>
    </dataValidation>
    <dataValidation type="list" allowBlank="1" showInputMessage="1" showErrorMessage="1" sqref="G23">
      <formula1>"0: None"</formula1>
    </dataValidation>
    <dataValidation type="list" allowBlank="1" showInputMessage="1" showErrorMessage="1" sqref="G24">
      <formula1>"0: None"</formula1>
    </dataValidation>
    <dataValidation type="list" allowBlank="1" showInputMessage="1" showErrorMessage="1" sqref="G25">
      <formula1>"0: No items completed,2: 1 item completed,4: 2 items completed,6: 3 items completed,8: 4 items completed,10: 5 items completed"</formula1>
    </dataValidation>
    <dataValidation type="list" allowBlank="1" showInputMessage="1" showErrorMessage="1" sqref="G26">
      <formula1>"0: No items completed,2: 1 item completed,4: 2 items completed,5: 3 items completed,7: 4 items completed,9: 5 items completed,10: 6 items completed"</formula1>
    </dataValidation>
    <dataValidation type="list" allowBlank="1" showInputMessage="1" showErrorMessage="1" sqref="G27">
      <formula1>"0: No alerting to any owners,1: Alerting in at least one owner,3: Alerting to some owners [&gt;20%],6: Alerting to most owners [&gt;60%],10: Alerting to all owners [100%]"</formula1>
    </dataValidation>
    <dataValidation type="list" allowBlank="1" showInputMessage="1" showErrorMessage="1" sqref="G28">
      <formula1>"0: None"</formula1>
    </dataValidation>
    <dataValidation type="list" allowBlank="1" showInputMessage="1" showErrorMessage="1" sqref="G29">
      <formula1>"0: None"</formula1>
    </dataValidation>
    <dataValidation type="list" allowBlank="1" showInputMessage="1" showErrorMessage="1" sqref="G30">
      <formula1>"0: No items completed,2: 1 item completed,3: 2 items completed,4: 3 items completed,5: 4 items completed,7: 5 items completed,8: 6 items completed,9: 7 items completed,10: 8 items completed"</formula1>
    </dataValidation>
    <dataValidation type="list" allowBlank="1" showInputMessage="1" showErrorMessage="1" sqref="G31">
      <formula1>"0: None"</formula1>
    </dataValidation>
    <dataValidation type="list" allowBlank="1" showInputMessage="1" showErrorMessage="1" sqref="G32">
      <formula1>"0: No items completed,2: 1 item completed,4: 2 items completed,6: 3 items completed,8: 4 items completed,10: 5 items completed"</formula1>
    </dataValidation>
    <dataValidation type="list" allowBlank="1" showInputMessage="1" showErrorMessage="1" sqref="G33">
      <formula1>"0: No items completed,2: 1 item completed,4: 2 items completed,6: 3 items completed,8: 4 items completed,10: 5 items completed"</formula1>
    </dataValidation>
    <dataValidation type="list" allowBlank="1" showInputMessage="1" showErrorMessage="1" sqref="G34">
      <formula1>"0: No items completed,2: 1 item completed,4: 2 items completed,6: 3 items completed,8: 4 items completed,10: 5 items completed"</formula1>
    </dataValidation>
    <dataValidation type="list" allowBlank="1" showInputMessage="1" showErrorMessage="1" sqref="G35">
      <formula1>"0: No items completed,5: item 1 completed,10: item 2 completed"</formula1>
    </dataValidation>
    <dataValidation type="list" allowBlank="1" showInputMessage="1" showErrorMessage="1" sqref="G36">
      <formula1>"0: No items completed,4: 1 item completed,7: 2 items completed,10: 3 items completed"</formula1>
    </dataValidation>
    <dataValidation type="list" allowBlank="1" showInputMessage="1" showErrorMessage="1" sqref="G37">
      <formula1>"0: 0%,1: 10%,2: 20%,3: 30%,4: 40%,5: 50%,6: 60%,7: 70%,8: 80%,9: 90%,10: Near 100%"</formula1>
    </dataValidation>
    <dataValidation type="list" allowBlank="1" showInputMessage="1" showErrorMessage="1" sqref="G38">
      <formula1>"0: No items completed,3: 1 item completed,5: 2 items completed,8: 3 items completed,10: 4 items completed"</formula1>
    </dataValidation>
    <dataValidation type="list" allowBlank="1" showInputMessage="1" showErrorMessage="1" sqref="G39">
      <formula1>"0: None"</formula1>
    </dataValidation>
    <dataValidation type="list" allowBlank="1" showInputMessage="1" showErrorMessage="1" sqref="G40">
      <formula1>"0: No items completed,3: 1 item completed,5: 2 items completed,8: 3 items completed,10: 4 items completed"</formula1>
    </dataValidation>
    <dataValidation type="list" allowBlank="1" showInputMessage="1" showErrorMessage="1" sqref="G41">
      <formula1>"0: None,1: Annual,2: Quarterly,5: Monthly,7: Bi-Weekly,8: Weekly,10: Daily"</formula1>
    </dataValidation>
    <dataValidation type="list" allowBlank="1" showInputMessage="1" showErrorMessage="1" sqref="G42">
      <formula1>"0: 0%,1: 10%,2: 20%,3: 30%,4: 40%,5: 50%,6: 60%,7: 70%,8: 80%,9: 90%,10: Near 100%"</formula1>
    </dataValidation>
    <dataValidation type="list" allowBlank="1" showInputMessage="1" showErrorMessage="1" sqref="G43">
      <formula1>"0: No alerting,10: Alerting exists"</formula1>
    </dataValidation>
    <dataValidation type="list" allowBlank="1" showInputMessage="1" showErrorMessage="1" sqref="G44">
      <formula1>"0: No items completed,3: 1 item completed,5: 2 items completed,8: 3 items completed,10: 4 items completed"</formula1>
    </dataValidation>
    <dataValidation type="list" allowBlank="1" showInputMessage="1" showErrorMessage="1" sqref="G45">
      <formula1>"0: Does not exist,10: Exists"</formula1>
    </dataValidation>
    <dataValidation type="list" allowBlank="1" showInputMessage="1" showErrorMessage="1" sqref="G46">
      <formula1>"0: Does not exist,10: Exists"</formula1>
    </dataValidation>
    <dataValidation type="list" allowBlank="1" showInputMessage="1" showErrorMessage="1" sqref="G47">
      <formula1>"0: None"</formula1>
    </dataValidation>
    <dataValidation type="list" allowBlank="1" showInputMessage="1" showErrorMessage="1" sqref="G48">
      <formula1>"0: None"</formula1>
    </dataValidation>
    <dataValidation type="list" allowBlank="1" showInputMessage="1" showErrorMessage="1" sqref="G49">
      <formula1>"0: None"</formula1>
    </dataValidation>
    <dataValidation type="list" allowBlank="1" showInputMessage="1" showErrorMessage="1" sqref="G50">
      <formula1>"0: None"</formula1>
    </dataValidation>
    <dataValidation type="list" allowBlank="1" showInputMessage="1" showErrorMessage="1" sqref="G51">
      <formula1>"0: None"</formula1>
    </dataValidation>
    <dataValidation type="list" allowBlank="1" showInputMessage="1" showErrorMessage="1" sqref="G52">
      <formula1>"0: None"</formula1>
    </dataValidation>
    <dataValidation type="list" allowBlank="1" showInputMessage="1" showErrorMessage="1" sqref="G53">
      <formula1>"0: None"</formula1>
    </dataValidation>
    <dataValidation type="list" allowBlank="1" showInputMessage="1" showErrorMessage="1" sqref="G54">
      <formula1>"0: None"</formula1>
    </dataValidation>
    <dataValidation type="list" allowBlank="1" showInputMessage="1" showErrorMessage="1" sqref="G55">
      <formula1>"0: No review of trends,3: Manual review of trends,6: Automated trend detection,10: Manual review and automated trend detection"</formula1>
    </dataValidation>
    <dataValidation type="list" allowBlank="1" showInputMessage="1" showErrorMessage="1" sqref="G56">
      <formula1>"0: None"</formula1>
    </dataValidation>
    <dataValidation type="list" allowBlank="1" showInputMessage="1" showErrorMessage="1" sqref="G57">
      <formula1>"0: No items completed,3: 1 item completed,5: 2 items completed,8: 3 items completed,10: 4 items completed"</formula1>
    </dataValidation>
    <dataValidation type="list" allowBlank="1" showInputMessage="1" showErrorMessage="1" sqref="G58">
      <formula1>"0: None"</formula1>
    </dataValidation>
    <dataValidation type="list" allowBlank="1" showInputMessage="1" showErrorMessage="1" sqref="G59">
      <formula1>"0: None"</formula1>
    </dataValidation>
    <dataValidation type="list" allowBlank="1" showInputMessage="1" showErrorMessage="1" sqref="G60">
      <formula1>"0: None"</formula1>
    </dataValidation>
    <dataValidation type="list" allowBlank="1" showInputMessage="1" showErrorMessage="1" sqref="G61">
      <formula1>"0: None"</formula1>
    </dataValidation>
    <dataValidation type="list" allowBlank="1" showInputMessage="1" showErrorMessage="1" sqref="G62">
      <formula1>"0: None,10: communicates wins in KPI thresholds and unit costs"</formula1>
    </dataValidation>
    <dataValidation type="list" allowBlank="1" showInputMessage="1" showErrorMessage="1" sqref="G63">
      <formula1>"0: Does not exist,10: Exists"</formula1>
    </dataValidation>
    <dataValidation type="list" allowBlank="1" showInputMessage="1" showErrorMessage="1" sqref="G64">
      <formula1>"0: No items completed,2: 1 item completed,4: 2 items completed,6: 3 items completed,8: 4 items completed,10: 5 items completed"</formula1>
    </dataValidation>
    <dataValidation type="list" allowBlank="1" showInputMessage="1" showErrorMessage="1" sqref="G65">
      <formula1>"0: No documented method,10: Documented method of assessing modernization efforts"</formula1>
    </dataValidation>
    <dataValidation type="list" allowBlank="1" showInputMessage="1" showErrorMessage="1" sqref="G66">
      <formula1>"0: None"</formula1>
    </dataValidation>
    <dataValidation type="list" allowBlank="1" showInputMessage="1" showErrorMessage="1" sqref="G67">
      <formula1>"0: None"</formula1>
    </dataValidation>
    <dataValidation type="list" allowBlank="1" showInputMessage="1" showErrorMessage="1" sqref="G68">
      <formula1>"0: None"</formula1>
    </dataValidation>
    <dataValidation type="list" allowBlank="1" showInputMessage="1" showErrorMessage="1" sqref="G69">
      <formula1>"0: None"</formula1>
    </dataValidation>
    <dataValidation type="list" allowBlank="1" showInputMessage="1" showErrorMessage="1" sqref="G70">
      <formula1>"0: None"</formula1>
    </dataValidation>
    <dataValidation type="list" allowBlank="1" showInputMessage="1" showErrorMessage="1" sqref="G71">
      <formula1>"0: No items completed,4: 1 item completed,7: 2 items completed,10: 3 items completed"</formula1>
    </dataValidation>
    <dataValidation type="list" allowBlank="1" showInputMessage="1" showErrorMessage="1" sqref="G72">
      <formula1>"0: None"</formula1>
    </dataValidation>
    <dataValidation type="list" allowBlank="1" showInputMessage="1" showErrorMessage="1" sqref="G73">
      <formula1>"0: None"</formula1>
    </dataValidation>
    <dataValidation type="list" allowBlank="1" showInputMessage="1" showErrorMessage="1" sqref="G74">
      <formula1>"0: None"</formula1>
    </dataValidation>
    <dataValidation type="list" allowBlank="1" showInputMessage="1" showErrorMessage="1" sqref="G75">
      <formula1>"0: None"</formula1>
    </dataValidation>
    <dataValidation type="list" allowBlank="1" showInputMessage="1" showErrorMessage="1" sqref="G76">
      <formula1>"0: No teardown/shutdown policy,3: Published policy,6: Classification tagged or otherwise identifiable,10: Enforced Policy with tagged/identifiable classifications"</formula1>
    </dataValidation>
    <dataValidation type="list" allowBlank="1" showInputMessage="1" showErrorMessage="1" sqref="G77">
      <formula1>"0: 0%,1: 10%,2: 20%,3: 30%,4: 40%,5: 50%,6: 60%,7: 70%,8: 80%,9: 90%,10: Near 100%"</formula1>
    </dataValidation>
    <dataValidation type="list" allowBlank="1" showInputMessage="1" showErrorMessage="1" sqref="G78">
      <formula1>"0: None"</formula1>
    </dataValidation>
    <dataValidation type="list" allowBlank="1" showInputMessage="1" showErrorMessage="1" sqref="G79">
      <formula1>"0: None"</formula1>
    </dataValidation>
    <dataValidation type="list" allowBlank="1" showInputMessage="1" showErrorMessage="1" sqref="G80">
      <formula1>"0: None"</formula1>
    </dataValidation>
    <dataValidation type="list" allowBlank="1" showInputMessage="1" showErrorMessage="1" sqref="G81">
      <formula1>"0: Not done,10: Policy in place and published"</formula1>
    </dataValidation>
    <dataValidation type="list" allowBlank="1" showInputMessage="1" showErrorMessage="1" sqref="G82">
      <formula1>"0: Not done,10: Policy in place and published"</formula1>
    </dataValidation>
    <dataValidation type="list" allowBlank="1" showInputMessage="1" showErrorMessage="1" sqref="G83">
      <formula1>"0: None"</formula1>
    </dataValidation>
    <dataValidation type="list" allowBlank="1" showInputMessage="1" showErrorMessage="1" sqref="G84">
      <formula1>"0: None"</formula1>
    </dataValidation>
    <dataValidation type="list" allowBlank="1" showInputMessage="1" showErrorMessage="1" sqref="G85">
      <formula1>"0: None"</formula1>
    </dataValidation>
    <dataValidation type="list" allowBlank="1" showInputMessage="1" showErrorMessage="1" sqref="G86">
      <formula1>"0: No items completed,2: 1 item completed,4: 2 items completed,6: 3 items completed,8: 4 items completed,10: 5 items completed"</formula1>
    </dataValidation>
    <dataValidation type="list" allowBlank="1" showInputMessage="1" showErrorMessage="1" sqref="G87">
      <formula1>"0: 0%,1: 10%,2: 20%,3: 30%,4: 40%,5: 50%,6: 60%,7: 70%,8: 80%,9: 90%,10: Near 100%"</formula1>
    </dataValidation>
    <dataValidation type="list" allowBlank="1" showInputMessage="1" showErrorMessage="1" sqref="G88">
      <formula1>"0: None"</formula1>
    </dataValidation>
    <dataValidation type="list" allowBlank="1" showInputMessage="1" showErrorMessage="1" sqref="G89">
      <formula1>"0: None"</formula1>
    </dataValidation>
    <dataValidation type="list" allowBlank="1" showInputMessage="1" showErrorMessage="1" sqref="G90">
      <formula1>"0: Not done,10: Policy in place and published"</formula1>
    </dataValidation>
    <dataValidation type="list" allowBlank="1" showInputMessage="1" showErrorMessage="1" sqref="G91">
      <formula1>"0: None"</formula1>
    </dataValidation>
    <dataValidation type="list" allowBlank="1" showInputMessage="1" showErrorMessage="1" sqref="G92">
      <formula1>"0: None"</formula1>
    </dataValidation>
    <dataValidation type="list" allowBlank="1" showInputMessage="1" showErrorMessage="1" sqref="G93">
      <formula1>"0: None"</formula1>
    </dataValidation>
    <dataValidation type="list" allowBlank="1" showInputMessage="1" showErrorMessage="1" sqref="G94">
      <formula1>"0: None"</formula1>
    </dataValidation>
    <dataValidation type="list" allowBlank="1" showInputMessage="1" showErrorMessage="1" sqref="G95">
      <formula1>"0: None"</formula1>
    </dataValidation>
    <dataValidation type="list" allowBlank="1" showInputMessage="1" showErrorMessage="1" sqref="G96">
      <formula1>"0: None"</formula1>
    </dataValidation>
    <dataValidation type="list" allowBlank="1" showInputMessage="1" showErrorMessage="1" sqref="G97">
      <formula1>"0: None"</formula1>
    </dataValidation>
    <dataValidation type="list" allowBlank="1" showInputMessage="1" showErrorMessage="1" sqref="G98">
      <formula1>"0: None"</formula1>
    </dataValidation>
    <dataValidation type="list" allowBlank="1" showInputMessage="1" showErrorMessage="1" sqref="G99">
      <formula1>"0: No executive sponsor identified,10: Executive sponsor formally identified and actively engaged"</formula1>
    </dataValidation>
    <dataValidation type="list" allowBlank="1" showInputMessage="1" showErrorMessage="1" sqref="G100">
      <formula1>"0: No items completed,4: 1 item completed,7: 2 items completed,10: 3 items completed"</formula1>
    </dataValidation>
    <dataValidation type="list" allowBlank="1" showInputMessage="1" showErrorMessage="1" sqref="G101">
      <formula1>"0: No items completed,4: 1 item completed,7: 2 items completed,10: 3 items completed"</formula1>
    </dataValidation>
    <dataValidation type="list" allowBlank="1" showInputMessage="1" showErrorMessage="1" sqref="G102">
      <formula1>"0: No items completed,4: 1 item completed,7: 2 items completed,10: 3 items completed"</formula1>
    </dataValidation>
    <dataValidation type="list" allowBlank="1" showInputMessage="1" showErrorMessage="1" sqref="G103">
      <formula1>"0: Not done,10: Defined"</formula1>
    </dataValidation>
    <dataValidation type="list" allowBlank="1" showInputMessage="1" showErrorMessage="1" sqref="G104">
      <formula1>"0: None"</formula1>
    </dataValidation>
    <dataValidation type="list" allowBlank="1" showInputMessage="1" showErrorMessage="1" sqref="G105">
      <formula1>"0: None"</formula1>
    </dataValidation>
    <dataValidation type="list" allowBlank="1" showInputMessage="1" showErrorMessage="1" sqref="G106">
      <formula1>"0: None"</formula1>
    </dataValidation>
    <dataValidation type="list" allowBlank="1" showInputMessage="1" showErrorMessage="1" sqref="G107">
      <formula1>"0: None"</formula1>
    </dataValidation>
    <dataValidation type="list" allowBlank="1" showInputMessage="1" showErrorMessage="1" sqref="G108">
      <formula1>"0: None"</formula1>
    </dataValidation>
    <dataValidation type="list" allowBlank="1" showInputMessage="1" showErrorMessage="1" sqref="G109">
      <formula1>"0: None"</formula1>
    </dataValidation>
    <dataValidation type="list" allowBlank="1" showInputMessage="1" showErrorMessage="1" sqref="G110">
      <formula1>"0: None"</formula1>
    </dataValidation>
    <dataValidation type="list" allowBlank="1" showInputMessage="1" showErrorMessage="1" sqref="G111">
      <formula1>"0: None"</formula1>
    </dataValidation>
    <dataValidation type="list" allowBlank="1" showInputMessage="1" showErrorMessage="1" sqref="G112">
      <formula1>"0: Not monitored,2: Reported,5: Manual remediation,10: Automated remediation"</formula1>
    </dataValidation>
    <dataValidation type="list" allowBlank="1" showInputMessage="1" showErrorMessage="1" sqref="G113">
      <formula1>"0: None"</formula1>
    </dataValidation>
    <dataValidation type="list" allowBlank="1" showInputMessage="1" showErrorMessage="1" sqref="G114">
      <formula1>"0: None"</formula1>
    </dataValidation>
    <dataValidation type="list" allowBlank="1" showInputMessage="1" showErrorMessage="1" sqref="G115">
      <formula1>"0: None"</formula1>
    </dataValidation>
    <dataValidation type="list" allowBlank="1" showInputMessage="1" showErrorMessage="1" sqref="G116">
      <formula1>"0: None"</formula1>
    </dataValidation>
    <dataValidation type="list" allowBlank="1" showInputMessage="1" showErrorMessage="1" sqref="G117">
      <formula1>"0: No items completed,5: 1 item completed,10: 2 items completed"</formula1>
    </dataValidation>
    <dataValidation type="list" allowBlank="1" showInputMessage="1" showErrorMessage="1" sqref="G118">
      <formula1>"0: None"</formula1>
    </dataValidation>
    <dataValidation type="list" allowBlank="1" showInputMessage="1" showErrorMessage="1" sqref="G119">
      <formula1>"0: None"</formula1>
    </dataValidation>
    <dataValidation type="list" allowBlank="1" showInputMessage="1" showErrorMessage="1" sqref="G120">
      <formula1>"0: None"</formula1>
    </dataValidation>
    <dataValidation type="list" allowBlank="1" showInputMessage="1" showErrorMessage="1" sqref="G121">
      <formula1>"0: Not done,10: Done and clearly defined"</formula1>
    </dataValidation>
    <dataValidation type="list" allowBlank="1" showInputMessage="1" showErrorMessage="1" sqref="G122">
      <formula1>"0: None"</formula1>
    </dataValidation>
    <dataValidation type="list" allowBlank="1" showInputMessage="1" showErrorMessage="1" sqref="G123">
      <formula1>"0: None"</formula1>
    </dataValidation>
    <dataValidation type="list" allowBlank="1" showInputMessage="1" showErrorMessage="1" sqref="G124">
      <formula1>"0: Not done,10: Defined"</formula1>
    </dataValidation>
    <dataValidation type="list" allowBlank="1" showInputMessage="1" showErrorMessage="1" sqref="G125">
      <formula1>"0: 0 items completed,3: 1 item completed,5: 2 items completed,8: 3 items completed,10: 4 items completed"</formula1>
    </dataValidation>
    <dataValidation type="list" allowBlank="1" showInputMessage="1" showErrorMessage="1" sqref="G126">
      <formula1>"0: No items completed,3: 1 item completed,5: 2 items completed,8: 3 items completed,10: 4 items completed"</formula1>
    </dataValidation>
    <dataValidation type="list" allowBlank="1" showInputMessage="1" showErrorMessage="1" sqref="G127">
      <formula1>"0: No items completed,4: 1 item completed,7: 2 items completed,10: 3 items completed"</formula1>
    </dataValidation>
    <dataValidation type="list" allowBlank="1" showInputMessage="1" showErrorMessage="1" sqref="G128">
      <formula1>"0: No items completed,3: item 1 completed,5: items 1, and 2 completed,8: items 1, 2, and 3 completed,10: items 1, 2, 3, and 4 completed"</formula1>
    </dataValidation>
    <dataValidation type="list" allowBlank="1" showInputMessage="1" showErrorMessage="1" sqref="G129">
      <formula1>"0: No items completed,3: 1 item completed,5: 2 items completed,8: 3 items completed,10: 4 items completed"</formula1>
    </dataValidation>
    <dataValidation type="list" allowBlank="1" showInputMessage="1" showErrorMessage="1" sqref="G130">
      <formula1>"0: None"</formula1>
    </dataValidation>
    <dataValidation type="list" allowBlank="1" showInputMessage="1" showErrorMessage="1" sqref="G131">
      <formula1>"0: No rules established,10: Published policy"</formula1>
    </dataValidation>
    <dataValidation type="list" allowBlank="1" showInputMessage="1" showErrorMessage="1" sqref="G132">
      <formula1>"0: None"</formula1>
    </dataValidation>
    <dataValidation type="list" allowBlank="1" showInputMessage="1" showErrorMessage="1" sqref="G133">
      <formula1>"0: No items completed,2: 1 item completed,4: 2 items completed,6: 3 items completed,8: 4 items completed,10: 5 items completed"</formula1>
    </dataValidation>
    <dataValidation type="list" allowBlank="1" showInputMessage="1" showErrorMessage="1" sqref="G134">
      <formula1>"0: None"</formula1>
    </dataValidation>
    <dataValidation type="list" allowBlank="1" showInputMessage="1" showErrorMessage="1" sqref="G135">
      <formula1>"0: None"</formula1>
    </dataValidation>
    <dataValidation type="list" allowBlank="1" showInputMessage="1" showErrorMessage="1" sqref="G136">
      <formula1>"0: None"</formula1>
    </dataValidation>
    <dataValidation type="list" allowBlank="1" showInputMessage="1" showErrorMessage="1" sqref="G137">
      <formula1>"0: None"</formula1>
    </dataValidation>
    <dataValidation type="list" allowBlank="1" showInputMessage="1" showErrorMessage="1" sqref="G138">
      <formula1>"0: None"</formula1>
    </dataValidation>
    <dataValidation type="list" allowBlank="1" showInputMessage="1" showErrorMessage="1" sqref="G139">
      <formula1>"0: None"</formula1>
    </dataValidation>
    <dataValidation type="list" allowBlank="1" showInputMessage="1" showErrorMessage="1" sqref="G140">
      <formula1>"0: None"</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s>
  <pageMargins left="0.7" right="0.7" top="0.75" bottom="0.75" header="0.3" footer="0.3"/>
  <ignoredErrors>
    <ignoredError sqref="D:D"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2</vt:i4>
      </vt:variant>
    </vt:vector>
  </HeadingPairs>
  <TitlesOfParts>
    <vt:vector size="4" baseType="lpstr">
      <vt:lpstr>Overview</vt:lpstr>
      <vt:lpstr>Scoring</vt:lpstr>
      <vt:lpstr>Maturity - Domains</vt:lpstr>
      <vt:lpstr>Maturity - Capabilities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2026-03-24T20:41:55Z</dcterms:created>
  <dcterms:modified xsi:type="dcterms:W3CDTF">2026-03-24T20:41:55Z</dcterms:modified>
</cp:coreProperties>
</file>